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Resumen" sheetId="1" state="visible" r:id="rId1"/>
    <sheet name="Detalle" sheetId="2" state="visible" r:id="rId2"/>
    <sheet name="Detalle de agentes" sheetId="3" state="visible" r:id="rId3"/>
  </sheets>
  <definedNames>
    <definedName name="_xlnm._FilterDatabase" localSheetId="1" hidden="1">'Detalle'!$A$82:$T$85</definedName>
    <definedName name="_xlnm.Print_Area" localSheetId="1">'Detalle'!$A$1:$T$81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US$ &quot;#,##0"/>
    <numFmt numFmtId="165" formatCode="&quot;S/ &quot;#,##0"/>
    <numFmt numFmtId="166" formatCode="_-* #,##0.00_-;\-* #,##0.00_-;_-* \-??_-;_-@_-"/>
    <numFmt numFmtId="167" formatCode="_-* #,##0_-;\-* #,##0_-;_-* \-??_-;_-@_-"/>
    <numFmt numFmtId="168" formatCode="dd/mm/yyyy"/>
    <numFmt numFmtId="169" formatCode="0\ %"/>
    <numFmt numFmtId="170" formatCode="_ * #,##0.00_ ;_ * \-#,##0.00_ ;_ * \-??_ ;_ @_ "/>
  </numFmts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8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Courier New"/>
      <charset val="1"/>
      <family val="3"/>
      <sz val="10"/>
    </font>
    <font>
      <name val="Arial"/>
      <charset val="1"/>
      <family val="2"/>
      <b val="1"/>
      <color rgb="FFFFFFFF"/>
      <sz val="17"/>
    </font>
    <font>
      <name val="Arial"/>
      <charset val="1"/>
      <family val="2"/>
      <i val="1"/>
      <color rgb="FF595959"/>
      <sz val="11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1F3864"/>
      <sz val="9"/>
    </font>
    <font>
      <name val="Arial"/>
      <charset val="1"/>
      <family val="2"/>
      <b val="1"/>
      <color rgb="FF1F3864"/>
      <sz val="16"/>
    </font>
    <font>
      <name val="Arial"/>
      <charset val="1"/>
      <family val="2"/>
      <b val="1"/>
      <color rgb="FF1F3864"/>
      <sz val="17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sz val="10"/>
    </font>
    <font>
      <name val="Arial"/>
      <charset val="1"/>
      <family val="2"/>
      <b val="1"/>
      <color rgb="FF1F3864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color rgb="FF008000"/>
      <sz val="10"/>
    </font>
    <font>
      <name val="Calibri"/>
      <charset val="1"/>
      <family val="2"/>
      <sz val="10"/>
    </font>
    <font>
      <name val="Calibri"/>
      <charset val="1"/>
      <family val="2"/>
      <b val="1"/>
      <sz val="10"/>
      <u val="single"/>
    </font>
    <font>
      <name val="Calibri"/>
      <charset val="1"/>
      <family val="2"/>
      <b val="1"/>
      <sz val="10"/>
    </font>
    <font>
      <name val="Arial"/>
      <charset val="1"/>
      <family val="2"/>
      <color rgb="FF202E44"/>
      <sz val="9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sz val="10"/>
      <u val="single"/>
    </font>
    <font>
      <name val="Calibri"/>
      <charset val="1"/>
      <family val="2"/>
      <color rgb="FF202E44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color rgb="FF0000FF"/>
      <sz val="10"/>
    </font>
    <font>
      <name val="Calibri"/>
      <charset val="1"/>
      <family val="2"/>
      <sz val="11"/>
      <u val="single"/>
    </font>
    <font>
      <name val="Arial"/>
      <charset val="1"/>
      <family val="2"/>
      <sz val="11"/>
    </font>
    <font>
      <name val="Calibri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color rgb="FFFF0000"/>
      <sz val="8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theme="1"/>
      <sz val="10"/>
    </font>
    <font>
      <name val="Calibri"/>
      <charset val="1"/>
      <family val="2"/>
      <color theme="1"/>
      <sz val="10"/>
    </font>
    <font>
      <name val="Verdana"/>
      <charset val="1"/>
      <family val="2"/>
      <color rgb="FF000000"/>
      <sz val="8"/>
    </font>
  </fonts>
  <fills count="12">
    <fill>
      <patternFill/>
    </fill>
    <fill>
      <patternFill patternType="gray125"/>
    </fill>
    <fill>
      <patternFill patternType="solid">
        <fgColor rgb="FF1F3864"/>
        <bgColor rgb="FF202E44"/>
      </patternFill>
    </fill>
    <fill>
      <patternFill patternType="solid">
        <fgColor rgb="FFDCE6F1"/>
        <bgColor rgb="FFDEEBF7"/>
      </patternFill>
    </fill>
    <fill>
      <patternFill patternType="solid">
        <fgColor rgb="FFF2F2F2"/>
        <bgColor rgb="FFDEEBF7"/>
      </patternFill>
    </fill>
    <fill>
      <patternFill patternType="solid">
        <fgColor rgb="FF305496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15"/>
        <bgColor rgb="FFD0CECE"/>
      </patternFill>
    </fill>
    <fill>
      <patternFill patternType="solid">
        <fgColor theme="2" tint="-0.1"/>
        <bgColor rgb="FFD9D9D9"/>
      </patternFill>
    </fill>
    <fill>
      <patternFill patternType="solid">
        <fgColor theme="4" tint="0.7999000000000001"/>
        <bgColor rgb="FFDCE6F1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283">
    <xf numFmtId="0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169" fontId="0" fillId="0" borderId="0" applyAlignment="1">
      <alignment horizontal="general" vertical="bottom"/>
    </xf>
    <xf numFmtId="0" fontId="24" fillId="0" borderId="0" applyAlignment="1">
      <alignment horizontal="general" vertical="bottom"/>
    </xf>
    <xf numFmtId="4" fontId="4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70" fontId="0" fillId="0" borderId="0" applyAlignment="1">
      <alignment horizontal="general" vertical="bottom"/>
    </xf>
    <xf numFmtId="170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" fontId="4" fillId="0" borderId="0" applyAlignment="1">
      <alignment horizontal="general" vertical="bottom"/>
    </xf>
  </cellStyleXfs>
  <cellXfs count="707">
    <xf numFmtId="0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general" vertical="center"/>
    </xf>
    <xf numFmtId="164" fontId="13" fillId="3" borderId="1" applyAlignment="1" pivotButton="0" quotePrefix="0" xfId="0">
      <alignment horizontal="general" vertical="center"/>
    </xf>
    <xf numFmtId="0" fontId="14" fillId="2" borderId="0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right" vertical="bottom"/>
    </xf>
    <xf numFmtId="164" fontId="5" fillId="0" borderId="1" applyAlignment="1" pivotButton="0" quotePrefix="0" xfId="0">
      <alignment horizontal="right" vertical="bottom"/>
    </xf>
    <xf numFmtId="0" fontId="15" fillId="4" borderId="1" applyAlignment="1" pivotButton="0" quotePrefix="0" xfId="0">
      <alignment horizontal="left" vertical="bottom"/>
    </xf>
    <xf numFmtId="0" fontId="5" fillId="4" borderId="2" applyAlignment="1" pivotButton="0" quotePrefix="0" xfId="0">
      <alignment horizontal="left" vertical="center"/>
    </xf>
    <xf numFmtId="165" fontId="15" fillId="4" borderId="1" applyAlignment="1" pivotButton="0" quotePrefix="0" xfId="0">
      <alignment horizontal="right" vertical="bottom"/>
    </xf>
    <xf numFmtId="164" fontId="15" fillId="4" borderId="1" applyAlignment="1" pivotButton="0" quotePrefix="0" xfId="0">
      <alignment horizontal="right" vertical="bottom"/>
    </xf>
    <xf numFmtId="0" fontId="16" fillId="3" borderId="1" applyAlignment="1" pivotButton="0" quotePrefix="0" xfId="0">
      <alignment horizontal="left" vertical="bottom"/>
    </xf>
    <xf numFmtId="0" fontId="5" fillId="3" borderId="2" applyAlignment="1" pivotButton="0" quotePrefix="0" xfId="0">
      <alignment horizontal="center" vertical="center"/>
    </xf>
    <xf numFmtId="164" fontId="16" fillId="3" borderId="1" applyAlignment="1" pivotButton="0" quotePrefix="0" xfId="0">
      <alignment horizontal="right" vertical="bottom"/>
    </xf>
    <xf numFmtId="0" fontId="17" fillId="5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165" fontId="19" fillId="0" borderId="1" applyAlignment="1" pivotButton="0" quotePrefix="0" xfId="0">
      <alignment horizontal="general" vertical="bottom"/>
    </xf>
    <xf numFmtId="165" fontId="18" fillId="0" borderId="1" applyAlignment="1" pivotButton="0" quotePrefix="0" xfId="0">
      <alignment horizontal="general" vertical="bottom"/>
    </xf>
    <xf numFmtId="164" fontId="19" fillId="0" borderId="1" applyAlignment="1" pivotButton="0" quotePrefix="0" xfId="0">
      <alignment horizontal="general" vertical="bottom"/>
    </xf>
    <xf numFmtId="164" fontId="18" fillId="0" borderId="1" applyAlignment="1" pivotButton="0" quotePrefix="0" xfId="0">
      <alignment horizontal="general" vertical="bottom"/>
    </xf>
    <xf numFmtId="0" fontId="5" fillId="0" borderId="3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166" fontId="20" fillId="0" borderId="0" applyAlignment="1" pivotButton="0" quotePrefix="0" xfId="15">
      <alignment horizontal="center" vertical="center"/>
    </xf>
    <xf numFmtId="167" fontId="20" fillId="0" borderId="0" applyAlignment="1" pivotButton="0" quotePrefix="0" xfId="15">
      <alignment horizontal="center" vertical="center"/>
    </xf>
    <xf numFmtId="166" fontId="20" fillId="0" borderId="0" applyAlignment="1" pivotButton="0" quotePrefix="0" xfId="15">
      <alignment horizontal="left" vertical="center"/>
    </xf>
    <xf numFmtId="167" fontId="20" fillId="6" borderId="0" applyAlignment="1" pivotButton="0" quotePrefix="0" xfId="15">
      <alignment horizontal="center" vertical="center"/>
    </xf>
    <xf numFmtId="166" fontId="20" fillId="6" borderId="0" applyAlignment="1" pivotButton="0" quotePrefix="0" xfId="15">
      <alignment horizontal="center" vertical="center"/>
    </xf>
    <xf numFmtId="166" fontId="20" fillId="0" borderId="0" applyAlignment="1" pivotButton="0" quotePrefix="0" xfId="15">
      <alignment horizontal="right" vertical="center"/>
    </xf>
    <xf numFmtId="0" fontId="20" fillId="6" borderId="0" applyAlignment="1" pivotButton="0" quotePrefix="0" xfId="0">
      <alignment horizontal="center" vertical="center"/>
    </xf>
    <xf numFmtId="166" fontId="20" fillId="0" borderId="0" applyAlignment="1" pivotButton="0" quotePrefix="0" xfId="15">
      <alignment horizontal="general" vertical="center"/>
    </xf>
    <xf numFmtId="0" fontId="21" fillId="6" borderId="0" applyAlignment="1" pivotButton="0" quotePrefix="0" xfId="0">
      <alignment horizontal="general" vertical="center"/>
    </xf>
    <xf numFmtId="0" fontId="20" fillId="6" borderId="0" applyAlignment="1" pivotButton="0" quotePrefix="0" xfId="0">
      <alignment horizontal="left" vertical="center"/>
    </xf>
    <xf numFmtId="166" fontId="20" fillId="6" borderId="0" applyAlignment="1" pivotButton="0" quotePrefix="0" xfId="15">
      <alignment horizontal="left" vertical="center"/>
    </xf>
    <xf numFmtId="166" fontId="20" fillId="6" borderId="0" applyAlignment="1" pivotButton="0" quotePrefix="0" xfId="15">
      <alignment horizontal="right" vertical="center"/>
    </xf>
    <xf numFmtId="166" fontId="20" fillId="6" borderId="0" applyAlignment="1" pivotButton="0" quotePrefix="0" xfId="15">
      <alignment horizontal="general" vertical="center"/>
    </xf>
    <xf numFmtId="0" fontId="20" fillId="6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center"/>
    </xf>
    <xf numFmtId="166" fontId="20" fillId="0" borderId="0" applyAlignment="1" pivotButton="0" quotePrefix="0" xfId="0">
      <alignment horizontal="general" vertical="bottom"/>
    </xf>
    <xf numFmtId="4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15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2" fillId="7" borderId="4" applyAlignment="1" pivotButton="0" quotePrefix="0" xfId="0">
      <alignment horizontal="general" vertical="center"/>
    </xf>
    <xf numFmtId="0" fontId="22" fillId="7" borderId="5" applyAlignment="1" pivotButton="0" quotePrefix="0" xfId="0">
      <alignment horizontal="center" vertical="center"/>
    </xf>
    <xf numFmtId="0" fontId="22" fillId="7" borderId="6" applyAlignment="1" pivotButton="0" quotePrefix="0" xfId="0">
      <alignment horizontal="left" vertical="center"/>
    </xf>
    <xf numFmtId="0" fontId="22" fillId="7" borderId="7" applyAlignment="1" pivotButton="0" quotePrefix="0" xfId="0">
      <alignment horizontal="center" vertical="center"/>
    </xf>
    <xf numFmtId="166" fontId="22" fillId="7" borderId="7" applyAlignment="1" pivotButton="0" quotePrefix="0" xfId="15">
      <alignment horizontal="center" vertical="center"/>
    </xf>
    <xf numFmtId="167" fontId="22" fillId="7" borderId="5" applyAlignment="1" pivotButton="0" quotePrefix="0" xfId="15">
      <alignment horizontal="center" vertical="center"/>
    </xf>
    <xf numFmtId="166" fontId="22" fillId="7" borderId="7" applyAlignment="1" pivotButton="0" quotePrefix="0" xfId="15">
      <alignment horizontal="left" vertical="center"/>
    </xf>
    <xf numFmtId="167" fontId="22" fillId="7" borderId="7" applyAlignment="1" pivotButton="0" quotePrefix="0" xfId="15">
      <alignment horizontal="center" vertical="center"/>
    </xf>
    <xf numFmtId="166" fontId="22" fillId="7" borderId="5" applyAlignment="1" pivotButton="0" quotePrefix="0" xfId="15">
      <alignment horizontal="center" vertical="center"/>
    </xf>
    <xf numFmtId="0" fontId="22" fillId="7" borderId="7" applyAlignment="1" pivotButton="0" quotePrefix="0" xfId="0">
      <alignment horizontal="left" vertical="center"/>
    </xf>
    <xf numFmtId="4" fontId="22" fillId="7" borderId="7" applyAlignment="1" pivotButton="0" quotePrefix="0" xfId="0">
      <alignment horizontal="center" vertical="center"/>
    </xf>
    <xf numFmtId="4" fontId="22" fillId="7" borderId="5" applyAlignment="1" pivotButton="0" quotePrefix="0" xfId="0">
      <alignment horizontal="center" vertical="center"/>
    </xf>
    <xf numFmtId="0" fontId="20" fillId="6" borderId="8" applyAlignment="1" pivotButton="0" quotePrefix="0" xfId="0">
      <alignment horizontal="left" vertical="top"/>
    </xf>
    <xf numFmtId="0" fontId="20" fillId="0" borderId="9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168" fontId="20" fillId="0" borderId="0" applyAlignment="1" pivotButton="0" quotePrefix="0" xfId="0">
      <alignment horizontal="left" vertical="top"/>
    </xf>
    <xf numFmtId="4" fontId="20" fillId="0" borderId="0" applyAlignment="1" pivotButton="0" quotePrefix="0" xfId="0">
      <alignment horizontal="right" vertical="top"/>
    </xf>
    <xf numFmtId="166" fontId="20" fillId="0" borderId="10" applyAlignment="1" pivotButton="0" quotePrefix="0" xfId="15">
      <alignment horizontal="general" vertical="center"/>
    </xf>
    <xf numFmtId="167" fontId="20" fillId="0" borderId="8" applyAlignment="1" pivotButton="0" quotePrefix="0" xfId="15">
      <alignment horizontal="right" vertical="top" wrapText="1"/>
    </xf>
    <xf numFmtId="169" fontId="20" fillId="0" borderId="9" applyAlignment="1" pivotButton="0" quotePrefix="0" xfId="15">
      <alignment horizontal="left" vertical="center"/>
    </xf>
    <xf numFmtId="169" fontId="20" fillId="0" borderId="0" applyAlignment="1" pivotButton="0" quotePrefix="0" xfId="15">
      <alignment horizontal="center" vertical="center"/>
    </xf>
    <xf numFmtId="166" fontId="20" fillId="6" borderId="8" applyAlignment="1" pivotButton="0" quotePrefix="0" xfId="15">
      <alignment horizontal="general" vertical="center"/>
    </xf>
    <xf numFmtId="4" fontId="20" fillId="0" borderId="0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0" fontId="25" fillId="0" borderId="10" applyAlignment="1" pivotButton="0" quotePrefix="0" xfId="20">
      <alignment horizontal="center" vertical="center"/>
    </xf>
    <xf numFmtId="0" fontId="20" fillId="0" borderId="0" applyAlignment="1" pivotButton="0" quotePrefix="0" xfId="0">
      <alignment horizontal="center" vertical="bottom"/>
    </xf>
    <xf numFmtId="168" fontId="20" fillId="0" borderId="0" applyAlignment="1" pivotButton="0" quotePrefix="0" xfId="0">
      <alignment horizontal="left" vertical="bottom"/>
    </xf>
    <xf numFmtId="0" fontId="20" fillId="6" borderId="11" applyAlignment="1" pivotButton="0" quotePrefix="0" xfId="0">
      <alignment horizontal="left" vertical="top"/>
    </xf>
    <xf numFmtId="0" fontId="20" fillId="7" borderId="5" applyAlignment="1" pivotButton="0" quotePrefix="0" xfId="0">
      <alignment horizontal="left" vertical="center"/>
    </xf>
    <xf numFmtId="166" fontId="22" fillId="7" borderId="5" applyAlignment="1" pivotButton="0" quotePrefix="0" xfId="15">
      <alignment horizontal="right" vertical="center"/>
    </xf>
    <xf numFmtId="0" fontId="20" fillId="7" borderId="4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bottom"/>
    </xf>
    <xf numFmtId="166" fontId="20" fillId="0" borderId="0" applyAlignment="1" pivotButton="0" quotePrefix="0" xfId="0">
      <alignment horizontal="left" vertical="center"/>
    </xf>
    <xf numFmtId="4" fontId="20" fillId="0" borderId="0" applyAlignment="1" pivotButton="0" quotePrefix="0" xfId="0">
      <alignment horizontal="center" vertical="center"/>
    </xf>
    <xf numFmtId="166" fontId="20" fillId="0" borderId="0" applyAlignment="1" pivotButton="0" quotePrefix="0" xfId="15">
      <alignment horizontal="general" vertical="bottom"/>
    </xf>
    <xf numFmtId="0" fontId="22" fillId="7" borderId="5" applyAlignment="1" pivotButton="0" quotePrefix="0" xfId="0">
      <alignment horizontal="general" vertical="center"/>
    </xf>
    <xf numFmtId="166" fontId="22" fillId="7" borderId="6" applyAlignment="1" pivotButton="0" quotePrefix="0" xfId="15">
      <alignment horizontal="center" vertical="center"/>
    </xf>
    <xf numFmtId="4" fontId="22" fillId="7" borderId="6" applyAlignment="1" pivotButton="0" quotePrefix="0" xfId="0">
      <alignment horizontal="center" vertical="center"/>
    </xf>
    <xf numFmtId="0" fontId="20" fillId="7" borderId="6" applyAlignment="1" pivotButton="0" quotePrefix="0" xfId="0">
      <alignment horizontal="left" vertical="center"/>
    </xf>
    <xf numFmtId="0" fontId="20" fillId="7" borderId="5" applyAlignment="1" pivotButton="0" quotePrefix="0" xfId="0">
      <alignment horizontal="center" vertical="center"/>
    </xf>
    <xf numFmtId="0" fontId="20" fillId="7" borderId="7" applyAlignment="1" pivotButton="0" quotePrefix="0" xfId="0">
      <alignment horizontal="center" vertical="center"/>
    </xf>
    <xf numFmtId="4" fontId="20" fillId="7" borderId="5" applyAlignment="1" pivotButton="0" quotePrefix="0" xfId="0">
      <alignment horizontal="center" vertical="center"/>
    </xf>
    <xf numFmtId="166" fontId="20" fillId="0" borderId="0" applyAlignment="1" pivotButton="0" quotePrefix="0" xfId="0">
      <alignment horizontal="center" vertical="center"/>
    </xf>
    <xf numFmtId="4" fontId="20" fillId="0" borderId="0" applyAlignment="1" pivotButton="0" quotePrefix="0" xfId="0">
      <alignment horizontal="center" vertical="bottom"/>
    </xf>
    <xf numFmtId="166" fontId="22" fillId="0" borderId="0" applyAlignment="1" pivotButton="0" quotePrefix="0" xfId="15">
      <alignment horizontal="general" vertical="center"/>
    </xf>
    <xf numFmtId="0" fontId="22" fillId="7" borderId="5" applyAlignment="1" pivotButton="0" quotePrefix="0" xfId="0">
      <alignment horizontal="left" vertical="center"/>
    </xf>
    <xf numFmtId="166" fontId="22" fillId="7" borderId="4" applyAlignment="1" pivotButton="0" quotePrefix="0" xfId="15">
      <alignment horizontal="center" vertical="center"/>
    </xf>
    <xf numFmtId="166" fontId="22" fillId="7" borderId="5" applyAlignment="1" pivotButton="0" quotePrefix="0" xfId="15">
      <alignment horizontal="left" vertical="center"/>
    </xf>
    <xf numFmtId="4" fontId="22" fillId="7" borderId="4" applyAlignment="1" pivotButton="0" quotePrefix="0" xfId="0">
      <alignment horizontal="center" vertical="center"/>
    </xf>
    <xf numFmtId="0" fontId="20" fillId="7" borderId="4" applyAlignment="1" pivotButton="0" quotePrefix="0" xfId="0">
      <alignment horizontal="center" vertical="center"/>
    </xf>
    <xf numFmtId="4" fontId="20" fillId="7" borderId="4" applyAlignment="1" pivotButton="0" quotePrefix="0" xfId="0">
      <alignment horizontal="center" vertical="center"/>
    </xf>
    <xf numFmtId="0" fontId="25" fillId="0" borderId="0" applyAlignment="1" pivotButton="0" quotePrefix="0" xfId="20">
      <alignment horizontal="center" vertical="center"/>
    </xf>
    <xf numFmtId="4" fontId="22" fillId="0" borderId="0" applyAlignment="1" pivotButton="0" quotePrefix="0" xfId="0">
      <alignment horizontal="general" vertical="center"/>
    </xf>
    <xf numFmtId="166" fontId="22" fillId="7" borderId="6" applyAlignment="1" pivotButton="0" quotePrefix="0" xfId="15">
      <alignment horizontal="left" vertical="center"/>
    </xf>
    <xf numFmtId="166" fontId="20" fillId="7" borderId="5" applyAlignment="1" pivotButton="0" quotePrefix="0" xfId="15">
      <alignment horizontal="left" vertical="center"/>
    </xf>
    <xf numFmtId="0" fontId="20" fillId="7" borderId="7" applyAlignment="1" pivotButton="0" quotePrefix="0" xfId="0">
      <alignment horizontal="left" vertical="center"/>
    </xf>
    <xf numFmtId="4" fontId="20" fillId="7" borderId="6" applyAlignment="1" pivotButton="0" quotePrefix="0" xfId="0">
      <alignment horizontal="center" vertical="center"/>
    </xf>
    <xf numFmtId="0" fontId="22" fillId="7" borderId="6" applyAlignment="1" pivotButton="0" quotePrefix="0" xfId="0">
      <alignment horizontal="center" vertical="center"/>
    </xf>
    <xf numFmtId="0" fontId="20" fillId="7" borderId="5" applyAlignment="1" pivotButton="0" quotePrefix="0" xfId="293">
      <alignment horizontal="left" vertical="center"/>
    </xf>
    <xf numFmtId="4" fontId="20" fillId="7" borderId="5" applyAlignment="1" pivotButton="0" quotePrefix="0" xfId="0">
      <alignment horizontal="left" vertical="center"/>
    </xf>
    <xf numFmtId="0" fontId="20" fillId="7" borderId="6" applyAlignment="1" pivotButton="0" quotePrefix="0" xfId="0">
      <alignment horizontal="center" vertical="center"/>
    </xf>
    <xf numFmtId="0" fontId="20" fillId="0" borderId="12" applyAlignment="1" pivotButton="0" quotePrefix="0" xfId="0">
      <alignment horizontal="general" vertical="center"/>
    </xf>
    <xf numFmtId="0" fontId="20" fillId="0" borderId="13" applyAlignment="1" pivotButton="0" quotePrefix="0" xfId="0">
      <alignment horizontal="general" vertical="center"/>
    </xf>
    <xf numFmtId="0" fontId="20" fillId="0" borderId="13" applyAlignment="1" pivotButton="0" quotePrefix="0" xfId="0">
      <alignment horizontal="left" vertical="center"/>
    </xf>
    <xf numFmtId="168" fontId="20" fillId="0" borderId="13" applyAlignment="1" pivotButton="0" quotePrefix="0" xfId="0">
      <alignment horizontal="center" vertical="center"/>
    </xf>
    <xf numFmtId="168" fontId="20" fillId="0" borderId="13" applyAlignment="1" pivotButton="0" quotePrefix="0" xfId="0">
      <alignment horizontal="general" vertical="center"/>
    </xf>
    <xf numFmtId="166" fontId="20" fillId="0" borderId="13" applyAlignment="1" pivotButton="0" quotePrefix="0" xfId="15">
      <alignment horizontal="general" vertical="center"/>
    </xf>
    <xf numFmtId="166" fontId="20" fillId="0" borderId="8" applyAlignment="1" pivotButton="0" quotePrefix="0" xfId="15">
      <alignment horizontal="general" vertical="center"/>
    </xf>
    <xf numFmtId="0" fontId="20" fillId="0" borderId="9" applyAlignment="1" pivotButton="0" quotePrefix="0" xfId="0">
      <alignment horizontal="left" vertical="center"/>
    </xf>
    <xf numFmtId="4" fontId="25" fillId="0" borderId="9" applyAlignment="1" pivotButton="0" quotePrefix="0" xfId="20">
      <alignment horizontal="center" vertical="center"/>
    </xf>
    <xf numFmtId="0" fontId="20" fillId="0" borderId="8" applyAlignment="1" pivotButton="0" quotePrefix="0" xfId="0">
      <alignment horizontal="general" vertical="center"/>
    </xf>
    <xf numFmtId="168" fontId="20" fillId="0" borderId="0" applyAlignment="1" pivotButton="0" quotePrefix="0" xfId="0">
      <alignment horizontal="center" vertical="center"/>
    </xf>
    <xf numFmtId="168" fontId="20" fillId="0" borderId="0" applyAlignment="1" pivotButton="0" quotePrefix="0" xfId="0">
      <alignment horizontal="general" vertical="center"/>
    </xf>
    <xf numFmtId="0" fontId="20" fillId="0" borderId="11" applyAlignment="1" pivotButton="0" quotePrefix="0" xfId="0">
      <alignment horizontal="general" vertical="center"/>
    </xf>
    <xf numFmtId="0" fontId="20" fillId="0" borderId="14" applyAlignment="1" pivotButton="0" quotePrefix="0" xfId="0">
      <alignment horizontal="general" vertical="center"/>
    </xf>
    <xf numFmtId="0" fontId="20" fillId="0" borderId="14" applyAlignment="1" pivotButton="0" quotePrefix="0" xfId="0">
      <alignment horizontal="left" vertical="center"/>
    </xf>
    <xf numFmtId="168" fontId="20" fillId="0" borderId="14" applyAlignment="1" pivotButton="0" quotePrefix="0" xfId="0">
      <alignment horizontal="center" vertical="center"/>
    </xf>
    <xf numFmtId="168" fontId="20" fillId="0" borderId="14" applyAlignment="1" pivotButton="0" quotePrefix="0" xfId="0">
      <alignment horizontal="general" vertical="center"/>
    </xf>
    <xf numFmtId="166" fontId="20" fillId="0" borderId="14" applyAlignment="1" pivotButton="0" quotePrefix="0" xfId="15">
      <alignment horizontal="general" vertical="center"/>
    </xf>
    <xf numFmtId="166" fontId="20" fillId="0" borderId="14" applyAlignment="1" pivotButton="0" quotePrefix="0" xfId="15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7" borderId="5" applyAlignment="1" pivotButton="0" quotePrefix="0" xfId="0">
      <alignment horizontal="general" vertical="center"/>
    </xf>
    <xf numFmtId="166" fontId="20" fillId="7" borderId="5" applyAlignment="1" pivotButton="0" quotePrefix="0" xfId="15">
      <alignment horizontal="center" vertical="center"/>
    </xf>
    <xf numFmtId="167" fontId="20" fillId="7" borderId="5" applyAlignment="1" pivotButton="0" quotePrefix="0" xfId="15">
      <alignment horizontal="center" vertical="center"/>
    </xf>
    <xf numFmtId="0" fontId="20" fillId="0" borderId="15" applyAlignment="1" pivotButton="0" quotePrefix="0" xfId="0">
      <alignment horizontal="general" vertical="center"/>
    </xf>
    <xf numFmtId="0" fontId="20" fillId="6" borderId="0" applyAlignment="1" pivotButton="0" quotePrefix="0" xfId="0">
      <alignment horizontal="left" vertical="center" wrapText="1"/>
    </xf>
    <xf numFmtId="166" fontId="20" fillId="0" borderId="10" applyAlignment="1" pivotButton="0" quotePrefix="0" xfId="15">
      <alignment horizontal="center" vertical="center"/>
    </xf>
    <xf numFmtId="166" fontId="20" fillId="0" borderId="8" applyAlignment="1" pivotButton="0" quotePrefix="0" xfId="15">
      <alignment horizontal="center" vertical="center"/>
    </xf>
    <xf numFmtId="4" fontId="25" fillId="0" borderId="16" applyAlignment="1" pivotButton="0" quotePrefix="0" xfId="20">
      <alignment horizontal="center" vertical="center"/>
    </xf>
    <xf numFmtId="0" fontId="20" fillId="0" borderId="10" applyAlignment="1" pivotButton="0" quotePrefix="0" xfId="0">
      <alignment horizontal="general" vertical="center"/>
    </xf>
    <xf numFmtId="0" fontId="20" fillId="0" borderId="10" applyAlignment="1" pivotButton="0" quotePrefix="0" xfId="0">
      <alignment horizontal="left" vertical="center" wrapText="1"/>
    </xf>
    <xf numFmtId="167" fontId="20" fillId="0" borderId="0" applyAlignment="1" pivotButton="0" quotePrefix="0" xfId="15">
      <alignment horizontal="left" vertical="center"/>
    </xf>
    <xf numFmtId="0" fontId="20" fillId="0" borderId="9" applyAlignment="1" pivotButton="0" quotePrefix="0" xfId="0">
      <alignment horizontal="general" vertical="center"/>
    </xf>
    <xf numFmtId="166" fontId="20" fillId="0" borderId="17" applyAlignment="1" pivotButton="0" quotePrefix="0" xfId="15">
      <alignment horizontal="center" vertical="center"/>
    </xf>
    <xf numFmtId="167" fontId="20" fillId="0" borderId="14" applyAlignment="1" pivotButton="0" quotePrefix="0" xfId="15">
      <alignment horizontal="center" vertical="center"/>
    </xf>
    <xf numFmtId="166" fontId="20" fillId="0" borderId="14" applyAlignment="1" pivotButton="0" quotePrefix="0" xfId="15">
      <alignment horizontal="left" vertical="center"/>
    </xf>
    <xf numFmtId="167" fontId="20" fillId="6" borderId="14" applyAlignment="1" pivotButton="0" quotePrefix="0" xfId="15">
      <alignment horizontal="center" vertical="center"/>
    </xf>
    <xf numFmtId="166" fontId="20" fillId="6" borderId="14" applyAlignment="1" pivotButton="0" quotePrefix="0" xfId="15">
      <alignment horizontal="center" vertical="center"/>
    </xf>
    <xf numFmtId="0" fontId="20" fillId="0" borderId="18" applyAlignment="1" pivotButton="0" quotePrefix="0" xfId="0">
      <alignment horizontal="left" vertical="center"/>
    </xf>
    <xf numFmtId="0" fontId="20" fillId="0" borderId="11" applyAlignment="1" pivotButton="0" quotePrefix="0" xfId="0">
      <alignment horizontal="left" vertical="center"/>
    </xf>
    <xf numFmtId="4" fontId="25" fillId="0" borderId="18" applyAlignment="1" pivotButton="0" quotePrefix="0" xfId="20">
      <alignment horizontal="center" vertical="center"/>
    </xf>
    <xf numFmtId="4" fontId="20" fillId="7" borderId="4" applyAlignment="1" pivotButton="0" quotePrefix="0" xfId="0">
      <alignment horizontal="left" vertical="center"/>
    </xf>
    <xf numFmtId="0" fontId="27" fillId="6" borderId="0" applyAlignment="1" pivotButton="0" quotePrefix="0" xfId="0">
      <alignment horizontal="center" vertical="center"/>
    </xf>
    <xf numFmtId="4" fontId="22" fillId="7" borderId="5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top" wrapText="1"/>
    </xf>
    <xf numFmtId="4" fontId="20" fillId="6" borderId="0" applyAlignment="1" pivotButton="0" quotePrefix="0" xfId="0">
      <alignment horizontal="right" vertical="top" wrapText="1"/>
    </xf>
    <xf numFmtId="166" fontId="20" fillId="6" borderId="0" applyAlignment="1" pivotButton="0" quotePrefix="0" xfId="15">
      <alignment horizontal="right" vertical="top" wrapText="1"/>
    </xf>
    <xf numFmtId="167" fontId="20" fillId="6" borderId="0" applyAlignment="1" pivotButton="0" quotePrefix="0" xfId="15">
      <alignment horizontal="right" vertical="top" wrapText="1"/>
    </xf>
    <xf numFmtId="167" fontId="20" fillId="6" borderId="0" applyAlignment="1" pivotButton="0" quotePrefix="0" xfId="15">
      <alignment horizontal="general" vertical="center"/>
    </xf>
    <xf numFmtId="169" fontId="20" fillId="6" borderId="0" applyAlignment="1" pivotButton="0" quotePrefix="0" xfId="19">
      <alignment horizontal="general" vertical="center"/>
    </xf>
    <xf numFmtId="2" fontId="20" fillId="6" borderId="0" applyAlignment="1" pivotButton="0" quotePrefix="0" xfId="0">
      <alignment horizontal="general" vertical="center"/>
    </xf>
    <xf numFmtId="168" fontId="20" fillId="6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top" wrapText="1"/>
    </xf>
    <xf numFmtId="168" fontId="20" fillId="0" borderId="0" applyAlignment="1" pivotButton="0" quotePrefix="0" xfId="0">
      <alignment horizontal="left" vertical="top" wrapText="1"/>
    </xf>
    <xf numFmtId="4" fontId="20" fillId="0" borderId="0" applyAlignment="1" pivotButton="0" quotePrefix="0" xfId="0">
      <alignment horizontal="right" vertical="top" wrapText="1"/>
    </xf>
    <xf numFmtId="166" fontId="20" fillId="0" borderId="0" applyAlignment="1" pivotButton="0" quotePrefix="0" xfId="15">
      <alignment horizontal="right" vertical="top" wrapText="1"/>
    </xf>
    <xf numFmtId="167" fontId="20" fillId="0" borderId="0" applyAlignment="1" pivotButton="0" quotePrefix="0" xfId="15">
      <alignment horizontal="right" vertical="top" wrapText="1"/>
    </xf>
    <xf numFmtId="169" fontId="20" fillId="0" borderId="0" applyAlignment="1" pivotButton="0" quotePrefix="0" xfId="15">
      <alignment horizontal="left" vertical="center"/>
    </xf>
    <xf numFmtId="0" fontId="25" fillId="0" borderId="0" applyAlignment="1" pivotButton="0" quotePrefix="0" xfId="20">
      <alignment horizontal="center" vertical="bottom"/>
    </xf>
    <xf numFmtId="166" fontId="20" fillId="6" borderId="0" applyAlignment="1" pivotButton="0" quotePrefix="0" xfId="0">
      <alignment horizontal="center" vertical="center"/>
    </xf>
    <xf numFmtId="166" fontId="20" fillId="6" borderId="0" applyAlignment="1" pivotButton="0" quotePrefix="0" xfId="15">
      <alignment horizontal="left" vertical="top" wrapText="1"/>
    </xf>
    <xf numFmtId="168" fontId="20" fillId="6" borderId="0" applyAlignment="1" pivotButton="0" quotePrefix="0" xfId="0">
      <alignment horizontal="left" vertical="top" wrapText="1"/>
    </xf>
    <xf numFmtId="166" fontId="20" fillId="0" borderId="0" applyAlignment="1" pivotButton="0" quotePrefix="0" xfId="15">
      <alignment horizontal="left" vertical="top" wrapText="1"/>
    </xf>
    <xf numFmtId="0" fontId="20" fillId="6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center" vertical="bottom"/>
    </xf>
    <xf numFmtId="166" fontId="22" fillId="7" borderId="5" applyAlignment="1" pivotButton="0" quotePrefix="0" xfId="28">
      <alignment horizontal="center" vertical="center"/>
    </xf>
    <xf numFmtId="166" fontId="22" fillId="7" borderId="6" applyAlignment="1" pivotButton="0" quotePrefix="0" xfId="28">
      <alignment horizontal="left" vertical="center"/>
    </xf>
    <xf numFmtId="167" fontId="22" fillId="7" borderId="5" applyAlignment="1" pivotButton="0" quotePrefix="0" xfId="28">
      <alignment horizontal="center" vertical="center"/>
    </xf>
    <xf numFmtId="4" fontId="22" fillId="7" borderId="12" applyAlignment="1" pivotButton="0" quotePrefix="0" xfId="0">
      <alignment horizontal="center" vertical="center"/>
    </xf>
    <xf numFmtId="169" fontId="20" fillId="6" borderId="9" applyAlignment="1" pivotButton="0" quotePrefix="0" xfId="19">
      <alignment horizontal="general" vertical="top" wrapText="1"/>
    </xf>
    <xf numFmtId="0" fontId="22" fillId="6" borderId="0" applyAlignment="1" pivotButton="0" quotePrefix="0" xfId="0">
      <alignment horizontal="general" vertical="top" wrapText="1"/>
    </xf>
    <xf numFmtId="169" fontId="20" fillId="6" borderId="13" applyAlignment="1" pivotButton="0" quotePrefix="0" xfId="0">
      <alignment horizontal="general" vertical="top" wrapText="1"/>
    </xf>
    <xf numFmtId="0" fontId="20" fillId="6" borderId="0" applyAlignment="1" pivotButton="0" quotePrefix="0" xfId="0">
      <alignment horizontal="center" vertical="top" wrapText="1"/>
    </xf>
    <xf numFmtId="166" fontId="20" fillId="6" borderId="8" applyAlignment="1" pivotButton="0" quotePrefix="0" xfId="28">
      <alignment horizontal="center" vertical="bottom"/>
    </xf>
    <xf numFmtId="0" fontId="22" fillId="6" borderId="15" applyAlignment="1" pivotButton="0" quotePrefix="0" xfId="0">
      <alignment horizontal="left" vertical="center"/>
    </xf>
    <xf numFmtId="0" fontId="20" fillId="6" borderId="8" applyAlignment="1" pivotButton="0" quotePrefix="0" xfId="0">
      <alignment horizontal="general" vertical="bottom"/>
    </xf>
    <xf numFmtId="0" fontId="20" fillId="0" borderId="10" applyAlignment="1" pivotButton="0" quotePrefix="0" xfId="0">
      <alignment horizontal="center" vertical="center"/>
    </xf>
    <xf numFmtId="0" fontId="20" fillId="6" borderId="12" applyAlignment="1" pivotButton="0" quotePrefix="0" xfId="0">
      <alignment horizontal="center" vertical="center"/>
    </xf>
    <xf numFmtId="0" fontId="20" fillId="6" borderId="8" applyAlignment="1" pivotButton="0" quotePrefix="0" xfId="0">
      <alignment horizontal="left" vertical="top" wrapText="1"/>
    </xf>
    <xf numFmtId="0" fontId="22" fillId="6" borderId="9" applyAlignment="1" pivotButton="0" quotePrefix="0" xfId="0">
      <alignment horizontal="general" vertical="top" wrapText="1"/>
    </xf>
    <xf numFmtId="0" fontId="22" fillId="6" borderId="10" applyAlignment="1" pivotButton="0" quotePrefix="0" xfId="0">
      <alignment horizontal="general" vertical="top" wrapText="1"/>
    </xf>
    <xf numFmtId="0" fontId="22" fillId="6" borderId="10" applyAlignment="1" pivotButton="0" quotePrefix="0" xfId="0">
      <alignment horizontal="left" vertical="center"/>
    </xf>
    <xf numFmtId="0" fontId="20" fillId="6" borderId="8" applyAlignment="1" pivotButton="0" quotePrefix="0" xfId="0">
      <alignment horizontal="center" vertical="bottom"/>
    </xf>
    <xf numFmtId="0" fontId="20" fillId="6" borderId="10" applyAlignment="1" pivotButton="0" quotePrefix="0" xfId="0">
      <alignment horizontal="center" vertical="bottom"/>
    </xf>
    <xf numFmtId="166" fontId="20" fillId="6" borderId="0" applyAlignment="1" pivotButton="0" quotePrefix="0" xfId="28">
      <alignment horizontal="center" vertical="center"/>
    </xf>
    <xf numFmtId="0" fontId="20" fillId="6" borderId="11" applyAlignment="1" pivotButton="0" quotePrefix="0" xfId="0">
      <alignment horizontal="left" vertical="top" wrapText="1"/>
    </xf>
    <xf numFmtId="0" fontId="20" fillId="6" borderId="14" applyAlignment="1" pivotButton="0" quotePrefix="0" xfId="0">
      <alignment horizontal="left" vertical="top" wrapText="1"/>
    </xf>
    <xf numFmtId="168" fontId="20" fillId="6" borderId="14" applyAlignment="1" pivotButton="0" quotePrefix="0" xfId="0">
      <alignment horizontal="left" vertical="top" wrapText="1"/>
    </xf>
    <xf numFmtId="4" fontId="20" fillId="6" borderId="14" applyAlignment="1" pivotButton="0" quotePrefix="0" xfId="0">
      <alignment horizontal="right" vertical="top" wrapText="1"/>
    </xf>
    <xf numFmtId="0" fontId="22" fillId="6" borderId="18" applyAlignment="1" pivotButton="0" quotePrefix="0" xfId="0">
      <alignment horizontal="general" vertical="top" wrapText="1"/>
    </xf>
    <xf numFmtId="0" fontId="22" fillId="6" borderId="14" applyAlignment="1" pivotButton="0" quotePrefix="0" xfId="0">
      <alignment horizontal="general" vertical="top" wrapText="1"/>
    </xf>
    <xf numFmtId="0" fontId="22" fillId="6" borderId="17" applyAlignment="1" pivotButton="0" quotePrefix="0" xfId="0">
      <alignment horizontal="general" vertical="top" wrapText="1"/>
    </xf>
    <xf numFmtId="0" fontId="22" fillId="6" borderId="17" applyAlignment="1" pivotButton="0" quotePrefix="0" xfId="0">
      <alignment horizontal="left" vertical="center"/>
    </xf>
    <xf numFmtId="0" fontId="20" fillId="6" borderId="11" applyAlignment="1" pivotButton="0" quotePrefix="0" xfId="0">
      <alignment horizontal="center" vertical="bottom"/>
    </xf>
    <xf numFmtId="0" fontId="20" fillId="6" borderId="17" applyAlignment="1" pivotButton="0" quotePrefix="0" xfId="0">
      <alignment horizontal="center" vertical="bottom"/>
    </xf>
    <xf numFmtId="0" fontId="25" fillId="6" borderId="11" applyAlignment="1" pivotButton="0" quotePrefix="0" xfId="20">
      <alignment horizontal="center" vertical="center"/>
    </xf>
    <xf numFmtId="0" fontId="22" fillId="8" borderId="5" applyAlignment="1" pivotButton="0" quotePrefix="0" xfId="0">
      <alignment horizontal="center" vertical="top" wrapText="1"/>
    </xf>
    <xf numFmtId="166" fontId="20" fillId="8" borderId="5" applyAlignment="1" pivotButton="0" quotePrefix="0" xfId="28">
      <alignment horizontal="center" vertical="bottom"/>
    </xf>
    <xf numFmtId="4" fontId="20" fillId="9" borderId="4" applyAlignment="1" pivotButton="0" quotePrefix="0" xfId="0">
      <alignment horizontal="center" vertical="center"/>
    </xf>
    <xf numFmtId="0" fontId="20" fillId="9" borderId="5" applyAlignment="1" pivotButton="0" quotePrefix="0" xfId="0">
      <alignment horizontal="center" vertical="center"/>
    </xf>
    <xf numFmtId="166" fontId="20" fillId="6" borderId="0" applyAlignment="1" pivotButton="0" quotePrefix="0" xfId="28">
      <alignment horizontal="center" vertical="bottom"/>
    </xf>
    <xf numFmtId="0" fontId="22" fillId="6" borderId="13" applyAlignment="1" pivotButton="0" quotePrefix="0" xfId="0">
      <alignment horizontal="general" vertical="top" wrapText="1"/>
    </xf>
    <xf numFmtId="0" fontId="22" fillId="6" borderId="15" applyAlignment="1" pivotButton="0" quotePrefix="0" xfId="0">
      <alignment horizontal="general" vertical="top" wrapText="1"/>
    </xf>
    <xf numFmtId="0" fontId="20" fillId="6" borderId="8" applyAlignment="1" pivotButton="0" quotePrefix="0" xfId="0">
      <alignment horizontal="left" vertical="center" wrapText="1"/>
    </xf>
    <xf numFmtId="0" fontId="20" fillId="6" borderId="8" applyAlignment="1" pivotButton="0" quotePrefix="0" xfId="0">
      <alignment horizontal="center" vertical="center"/>
    </xf>
    <xf numFmtId="0" fontId="20" fillId="6" borderId="15" applyAlignment="1" pivotButton="0" quotePrefix="0" xfId="0">
      <alignment horizontal="center" vertical="center"/>
    </xf>
    <xf numFmtId="0" fontId="25" fillId="6" borderId="12" applyAlignment="1" pivotButton="0" quotePrefix="0" xfId="20">
      <alignment horizontal="center" vertical="center"/>
    </xf>
    <xf numFmtId="0" fontId="20" fillId="6" borderId="0" applyAlignment="1" pivotButton="0" quotePrefix="0" xfId="0">
      <alignment horizontal="general" vertical="top" wrapText="1"/>
    </xf>
    <xf numFmtId="4" fontId="20" fillId="6" borderId="9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top" wrapText="1"/>
    </xf>
    <xf numFmtId="166" fontId="22" fillId="7" borderId="5" applyAlignment="1" pivotButton="0" quotePrefix="0" xfId="28">
      <alignment horizontal="right" vertical="center"/>
    </xf>
    <xf numFmtId="0" fontId="20" fillId="6" borderId="7" applyAlignment="1" pivotButton="0" quotePrefix="0" xfId="0">
      <alignment horizontal="center" vertical="bottom"/>
    </xf>
    <xf numFmtId="0" fontId="22" fillId="6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left" vertical="bottom"/>
    </xf>
    <xf numFmtId="4" fontId="22" fillId="6" borderId="0" applyAlignment="1" pivotButton="0" quotePrefix="0" xfId="0">
      <alignment horizontal="general" vertical="bottom"/>
    </xf>
    <xf numFmtId="166" fontId="22" fillId="6" borderId="0" applyAlignment="1" pivotButton="0" quotePrefix="0" xfId="28">
      <alignment horizontal="general" vertical="bottom"/>
    </xf>
    <xf numFmtId="167" fontId="20" fillId="6" borderId="0" applyAlignment="1" pivotButton="0" quotePrefix="0" xfId="28">
      <alignment horizontal="center" vertical="bottom"/>
    </xf>
    <xf numFmtId="0" fontId="25" fillId="6" borderId="8" applyAlignment="1" pivotButton="0" quotePrefix="0" xfId="20">
      <alignment horizontal="center" vertical="bottom"/>
    </xf>
    <xf numFmtId="166" fontId="22" fillId="7" borderId="4" applyAlignment="1" pivotButton="0" quotePrefix="0" xfId="28">
      <alignment horizontal="center" vertical="center"/>
    </xf>
    <xf numFmtId="166" fontId="22" fillId="7" borderId="5" applyAlignment="1" pivotButton="0" quotePrefix="0" xfId="28">
      <alignment horizontal="left" vertical="center"/>
    </xf>
    <xf numFmtId="0" fontId="18" fillId="6" borderId="0" applyAlignment="1" pivotButton="0" quotePrefix="0" xfId="0">
      <alignment horizontal="left" vertical="top" wrapText="1"/>
    </xf>
    <xf numFmtId="168" fontId="18" fillId="6" borderId="0" applyAlignment="1" pivotButton="0" quotePrefix="0" xfId="0">
      <alignment horizontal="left" vertical="top" wrapText="1"/>
    </xf>
    <xf numFmtId="4" fontId="18" fillId="6" borderId="0" applyAlignment="1" pivotButton="0" quotePrefix="0" xfId="0">
      <alignment horizontal="right" vertical="top" wrapText="1"/>
    </xf>
    <xf numFmtId="0" fontId="20" fillId="6" borderId="9" applyAlignment="1" pivotButton="0" quotePrefix="0" xfId="0">
      <alignment horizontal="center" vertical="top" wrapText="1"/>
    </xf>
    <xf numFmtId="166" fontId="20" fillId="0" borderId="8" applyAlignment="1" pivotButton="0" quotePrefix="0" xfId="28">
      <alignment horizontal="center" vertical="bottom"/>
    </xf>
    <xf numFmtId="4" fontId="20" fillId="0" borderId="1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top" wrapText="1"/>
    </xf>
    <xf numFmtId="0" fontId="20" fillId="6" borderId="5" applyAlignment="1" pivotButton="0" quotePrefix="0" xfId="0">
      <alignment horizontal="center" vertical="center"/>
    </xf>
    <xf numFmtId="0" fontId="29" fillId="0" borderId="8" applyAlignment="1" pivotButton="0" quotePrefix="0" xfId="20">
      <alignment horizontal="center" vertical="center"/>
    </xf>
    <xf numFmtId="0" fontId="30" fillId="0" borderId="0" applyAlignment="1" pivotButton="0" quotePrefix="0" xfId="0">
      <alignment horizontal="general" vertical="bottom"/>
    </xf>
    <xf numFmtId="166" fontId="20" fillId="0" borderId="0" applyAlignment="1" pivotButton="0" quotePrefix="0" xfId="28">
      <alignment horizontal="center" vertical="bottom"/>
    </xf>
    <xf numFmtId="0" fontId="20" fillId="6" borderId="7" applyAlignment="1" pivotButton="0" quotePrefix="0" xfId="0">
      <alignment horizontal="general" vertical="bottom"/>
    </xf>
    <xf numFmtId="169" fontId="20" fillId="6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general" vertical="bottom"/>
    </xf>
    <xf numFmtId="4" fontId="20" fillId="6" borderId="10" applyAlignment="1" pivotButton="0" quotePrefix="0" xfId="0">
      <alignment horizontal="left" vertical="center"/>
    </xf>
    <xf numFmtId="0" fontId="25" fillId="0" borderId="8" applyAlignment="1" pivotButton="0" quotePrefix="0" xfId="20">
      <alignment horizontal="center" vertical="bottom"/>
    </xf>
    <xf numFmtId="4" fontId="20" fillId="6" borderId="8" applyAlignment="1" pivotButton="0" quotePrefix="0" xfId="0">
      <alignment horizontal="center" vertical="center"/>
    </xf>
    <xf numFmtId="169" fontId="20" fillId="6" borderId="9" applyAlignment="1" pivotButton="0" quotePrefix="0" xfId="0">
      <alignment horizontal="center" vertical="top" wrapText="1"/>
    </xf>
    <xf numFmtId="2" fontId="20" fillId="6" borderId="0" applyAlignment="1" pivotButton="0" quotePrefix="0" xfId="0">
      <alignment horizontal="center" vertical="top" wrapText="1"/>
    </xf>
    <xf numFmtId="0" fontId="25" fillId="0" borderId="8" applyAlignment="1" pivotButton="0" quotePrefix="0" xfId="20">
      <alignment horizontal="center" vertical="center"/>
    </xf>
    <xf numFmtId="0" fontId="20" fillId="8" borderId="5" applyAlignment="1" pivotButton="0" quotePrefix="0" xfId="0">
      <alignment horizontal="center" vertical="top" wrapText="1"/>
    </xf>
    <xf numFmtId="0" fontId="20" fillId="9" borderId="12" applyAlignment="1" pivotButton="0" quotePrefix="0" xfId="0">
      <alignment horizontal="center" vertical="center"/>
    </xf>
    <xf numFmtId="0" fontId="28" fillId="6" borderId="8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general" vertical="bottom" wrapText="1"/>
    </xf>
    <xf numFmtId="4" fontId="20" fillId="6" borderId="9" applyAlignment="1" pivotButton="0" quotePrefix="0" xfId="0">
      <alignment horizontal="general" vertical="center"/>
    </xf>
    <xf numFmtId="0" fontId="20" fillId="6" borderId="8" applyAlignment="1" pivotButton="0" quotePrefix="0" xfId="0">
      <alignment horizontal="general" vertical="center"/>
    </xf>
    <xf numFmtId="0" fontId="20" fillId="6" borderId="0" applyAlignment="1" pivotButton="0" quotePrefix="0" xfId="0">
      <alignment horizontal="left" vertical="top"/>
    </xf>
    <xf numFmtId="168" fontId="20" fillId="6" borderId="0" applyAlignment="1" pivotButton="0" quotePrefix="0" xfId="0">
      <alignment horizontal="left" vertical="top"/>
    </xf>
    <xf numFmtId="4" fontId="20" fillId="6" borderId="0" applyAlignment="1" pivotButton="0" quotePrefix="0" xfId="0">
      <alignment horizontal="right" vertical="top"/>
    </xf>
    <xf numFmtId="0" fontId="20" fillId="6" borderId="10" applyAlignment="1" pivotButton="0" quotePrefix="0" xfId="0">
      <alignment horizontal="center" vertical="center"/>
    </xf>
    <xf numFmtId="0" fontId="20" fillId="6" borderId="9" applyAlignment="1" pivotButton="0" quotePrefix="0" xfId="0">
      <alignment horizontal="center" vertical="center"/>
    </xf>
    <xf numFmtId="0" fontId="20" fillId="6" borderId="11" applyAlignment="1" pivotButton="0" quotePrefix="0" xfId="0">
      <alignment horizontal="center" vertical="center"/>
    </xf>
    <xf numFmtId="0" fontId="20" fillId="8" borderId="12" applyAlignment="1" pivotButton="0" quotePrefix="0" xfId="0">
      <alignment horizontal="center" vertical="top" wrapText="1"/>
    </xf>
    <xf numFmtId="0" fontId="20" fillId="6" borderId="12" applyAlignment="1" pivotButton="0" quotePrefix="0" xfId="0">
      <alignment horizontal="general" vertical="bottom"/>
    </xf>
    <xf numFmtId="169" fontId="20" fillId="6" borderId="9" applyAlignment="1" pivotButton="0" quotePrefix="0" xfId="19">
      <alignment horizontal="center" vertical="top" wrapText="1"/>
    </xf>
    <xf numFmtId="169" fontId="20" fillId="10" borderId="0" applyAlignment="1" pivotButton="0" quotePrefix="0" xfId="19">
      <alignment horizontal="center" vertical="top" wrapText="1"/>
    </xf>
    <xf numFmtId="0" fontId="20" fillId="10" borderId="0" applyAlignment="1" pivotButton="0" quotePrefix="0" xfId="0">
      <alignment horizontal="center" vertical="top" wrapText="1"/>
    </xf>
    <xf numFmtId="4" fontId="20" fillId="10" borderId="0" applyAlignment="1" pivotButton="0" quotePrefix="0" xfId="0">
      <alignment horizontal="right" vertical="top" wrapText="1"/>
    </xf>
    <xf numFmtId="169" fontId="20" fillId="6" borderId="0" applyAlignment="1" pivotButton="0" quotePrefix="0" xfId="19">
      <alignment horizontal="center" vertical="top" wrapText="1"/>
    </xf>
    <xf numFmtId="0" fontId="18" fillId="6" borderId="8" applyAlignment="1" pivotButton="0" quotePrefix="0" xfId="0">
      <alignment horizontal="left" vertical="top" wrapText="1"/>
    </xf>
    <xf numFmtId="0" fontId="20" fillId="6" borderId="11" applyAlignment="1" pivotButton="0" quotePrefix="0" xfId="0">
      <alignment horizontal="general" vertical="bottom"/>
    </xf>
    <xf numFmtId="0" fontId="22" fillId="8" borderId="11" applyAlignment="1" pivotButton="0" quotePrefix="0" xfId="0">
      <alignment horizontal="center" vertical="top" wrapText="1"/>
    </xf>
    <xf numFmtId="4" fontId="20" fillId="6" borderId="5" applyAlignment="1" pivotButton="0" quotePrefix="0" xfId="0">
      <alignment horizontal="left" vertical="center"/>
    </xf>
    <xf numFmtId="4" fontId="20" fillId="9" borderId="5" applyAlignment="1" pivotButton="0" quotePrefix="0" xfId="0">
      <alignment horizontal="center" vertical="center"/>
    </xf>
    <xf numFmtId="0" fontId="20" fillId="9" borderId="4" applyAlignment="1" pivotButton="0" quotePrefix="0" xfId="0">
      <alignment horizontal="center" vertical="center"/>
    </xf>
    <xf numFmtId="166" fontId="20" fillId="11" borderId="8" applyAlignment="1" pivotButton="0" quotePrefix="0" xfId="28">
      <alignment horizontal="center" vertical="bottom"/>
    </xf>
    <xf numFmtId="0" fontId="22" fillId="6" borderId="9" applyAlignment="1" pivotButton="0" quotePrefix="0" xfId="0">
      <alignment horizontal="center" vertical="top" wrapText="1"/>
    </xf>
    <xf numFmtId="0" fontId="22" fillId="6" borderId="0" applyAlignment="1" pivotButton="0" quotePrefix="0" xfId="0">
      <alignment horizontal="center" vertical="top" wrapText="1"/>
    </xf>
    <xf numFmtId="4" fontId="20" fillId="6" borderId="9" applyAlignment="1" pivotButton="0" quotePrefix="0" xfId="0">
      <alignment horizontal="center" vertical="center"/>
    </xf>
    <xf numFmtId="169" fontId="22" fillId="6" borderId="0" applyAlignment="1" pivotButton="0" quotePrefix="0" xfId="0">
      <alignment horizontal="center" vertical="top" wrapText="1"/>
    </xf>
    <xf numFmtId="4" fontId="20" fillId="6" borderId="8" applyAlignment="1" pivotButton="0" quotePrefix="0" xfId="0">
      <alignment horizontal="general" vertical="center"/>
    </xf>
    <xf numFmtId="4" fontId="20" fillId="9" borderId="4" applyAlignment="1" pivotButton="0" quotePrefix="0" xfId="0">
      <alignment horizontal="left" vertical="center"/>
    </xf>
    <xf numFmtId="0" fontId="18" fillId="6" borderId="10" applyAlignment="1" pivotButton="0" quotePrefix="0" xfId="0">
      <alignment horizontal="left" vertical="top" wrapText="1"/>
    </xf>
    <xf numFmtId="0" fontId="18" fillId="6" borderId="17" applyAlignment="1" pivotButton="0" quotePrefix="0" xfId="0">
      <alignment horizontal="left" vertical="top" wrapText="1"/>
    </xf>
    <xf numFmtId="0" fontId="20" fillId="6" borderId="15" applyAlignment="1" pivotButton="0" quotePrefix="0" xfId="0">
      <alignment horizontal="left" vertical="top" wrapText="1"/>
    </xf>
    <xf numFmtId="4" fontId="20" fillId="6" borderId="10" applyAlignment="1" pivotButton="0" quotePrefix="0" xfId="0">
      <alignment horizontal="right" vertical="top" wrapText="1"/>
    </xf>
    <xf numFmtId="0" fontId="20" fillId="6" borderId="10" applyAlignment="1" pivotButton="0" quotePrefix="0" xfId="0">
      <alignment horizontal="left" vertical="top" wrapText="1"/>
    </xf>
    <xf numFmtId="0" fontId="20" fillId="6" borderId="18" applyAlignment="1" pivotButton="0" quotePrefix="0" xfId="0">
      <alignment horizontal="left" vertical="top"/>
    </xf>
    <xf numFmtId="0" fontId="20" fillId="6" borderId="14" applyAlignment="1" pivotButton="0" quotePrefix="0" xfId="0">
      <alignment horizontal="left" vertical="top"/>
    </xf>
    <xf numFmtId="168" fontId="20" fillId="6" borderId="14" applyAlignment="1" pivotButton="0" quotePrefix="0" xfId="0">
      <alignment horizontal="left" vertical="top"/>
    </xf>
    <xf numFmtId="4" fontId="20" fillId="6" borderId="14" applyAlignment="1" pivotButton="0" quotePrefix="0" xfId="0">
      <alignment horizontal="right" vertical="top"/>
    </xf>
    <xf numFmtId="4" fontId="20" fillId="6" borderId="17" applyAlignment="1" pivotButton="0" quotePrefix="0" xfId="0">
      <alignment horizontal="right" vertical="top"/>
    </xf>
    <xf numFmtId="0" fontId="22" fillId="8" borderId="5" applyAlignment="1" pivotButton="0" quotePrefix="0" xfId="0">
      <alignment horizontal="center" vertical="top"/>
    </xf>
    <xf numFmtId="0" fontId="20" fillId="6" borderId="9" applyAlignment="1" pivotButton="0" quotePrefix="0" xfId="0">
      <alignment horizontal="left" vertical="top" wrapText="1"/>
    </xf>
    <xf numFmtId="166" fontId="20" fillId="6" borderId="0" applyAlignment="1" pivotButton="0" quotePrefix="0" xfId="0">
      <alignment horizontal="center" vertical="top" wrapText="1"/>
    </xf>
    <xf numFmtId="0" fontId="20" fillId="6" borderId="16" applyAlignment="1" pivotButton="0" quotePrefix="0" xfId="0">
      <alignment horizontal="left" vertical="top"/>
    </xf>
    <xf numFmtId="0" fontId="20" fillId="6" borderId="13" applyAlignment="1" pivotButton="0" quotePrefix="0" xfId="0">
      <alignment horizontal="left" vertical="top"/>
    </xf>
    <xf numFmtId="168" fontId="20" fillId="6" borderId="13" applyAlignment="1" pivotButton="0" quotePrefix="0" xfId="0">
      <alignment horizontal="left" vertical="top"/>
    </xf>
    <xf numFmtId="4" fontId="20" fillId="6" borderId="13" applyAlignment="1" pivotButton="0" quotePrefix="0" xfId="0">
      <alignment horizontal="right" vertical="top"/>
    </xf>
    <xf numFmtId="4" fontId="20" fillId="6" borderId="15" applyAlignment="1" pivotButton="0" quotePrefix="0" xfId="0">
      <alignment horizontal="right" vertical="top"/>
    </xf>
    <xf numFmtId="0" fontId="22" fillId="6" borderId="9" applyAlignment="1" pivotButton="0" quotePrefix="0" xfId="0">
      <alignment horizontal="center" vertical="top"/>
    </xf>
    <xf numFmtId="0" fontId="22" fillId="6" borderId="0" applyAlignment="1" pivotButton="0" quotePrefix="0" xfId="0">
      <alignment horizontal="center" vertical="top"/>
    </xf>
    <xf numFmtId="169" fontId="20" fillId="6" borderId="0" applyAlignment="1" pivotButton="0" quotePrefix="0" xfId="19">
      <alignment horizontal="center" vertical="top"/>
    </xf>
    <xf numFmtId="0" fontId="20" fillId="6" borderId="0" applyAlignment="1" pivotButton="0" quotePrefix="0" xfId="0">
      <alignment horizontal="center" vertical="top"/>
    </xf>
    <xf numFmtId="0" fontId="20" fillId="6" borderId="9" applyAlignment="1" pivotButton="0" quotePrefix="0" xfId="0">
      <alignment horizontal="left" vertical="top"/>
    </xf>
    <xf numFmtId="4" fontId="20" fillId="6" borderId="10" applyAlignment="1" pivotButton="0" quotePrefix="0" xfId="0">
      <alignment horizontal="right" vertical="top"/>
    </xf>
    <xf numFmtId="0" fontId="20" fillId="6" borderId="18" applyAlignment="1" pivotButton="0" quotePrefix="0" xfId="0">
      <alignment horizontal="left" vertical="top" wrapText="1"/>
    </xf>
    <xf numFmtId="4" fontId="20" fillId="6" borderId="17" applyAlignment="1" pivotButton="0" quotePrefix="0" xfId="0">
      <alignment horizontal="right" vertical="top" wrapText="1"/>
    </xf>
    <xf numFmtId="4" fontId="20" fillId="9" borderId="16" applyAlignment="1" pivotButton="0" quotePrefix="0" xfId="0">
      <alignment horizontal="center" vertical="center"/>
    </xf>
    <xf numFmtId="4" fontId="20" fillId="6" borderId="0" applyAlignment="1" pivotButton="0" quotePrefix="0" xfId="0">
      <alignment horizontal="left" vertical="center"/>
    </xf>
    <xf numFmtId="4" fontId="20" fillId="6" borderId="16" applyAlignment="1" pivotButton="0" quotePrefix="0" xfId="0">
      <alignment horizontal="left" vertical="center"/>
    </xf>
    <xf numFmtId="166" fontId="20" fillId="6" borderId="0" applyAlignment="1" pivotButton="0" quotePrefix="0" xfId="15">
      <alignment horizontal="center" vertical="top" wrapText="1"/>
    </xf>
    <xf numFmtId="4" fontId="20" fillId="6" borderId="18" applyAlignment="1" pivotButton="0" quotePrefix="0" xfId="0">
      <alignment horizontal="left" vertical="center"/>
    </xf>
    <xf numFmtId="0" fontId="20" fillId="6" borderId="17" applyAlignment="1" pivotButton="0" quotePrefix="0" xfId="0">
      <alignment horizontal="center" vertical="center"/>
    </xf>
    <xf numFmtId="4" fontId="20" fillId="6" borderId="4" applyAlignment="1" pivotButton="0" quotePrefix="0" xfId="0">
      <alignment horizontal="left" vertical="center"/>
    </xf>
    <xf numFmtId="0" fontId="20" fillId="6" borderId="16" applyAlignment="1" pivotButton="0" quotePrefix="0" xfId="0">
      <alignment horizontal="left" vertical="top" wrapText="1"/>
    </xf>
    <xf numFmtId="0" fontId="20" fillId="6" borderId="13" applyAlignment="1" pivotButton="0" quotePrefix="0" xfId="0">
      <alignment horizontal="left" vertical="top" wrapText="1"/>
    </xf>
    <xf numFmtId="168" fontId="20" fillId="6" borderId="13" applyAlignment="1" pivotButton="0" quotePrefix="0" xfId="0">
      <alignment horizontal="left" vertical="top" wrapText="1"/>
    </xf>
    <xf numFmtId="4" fontId="20" fillId="6" borderId="13" applyAlignment="1" pivotButton="0" quotePrefix="0" xfId="0">
      <alignment horizontal="right" vertical="top" wrapText="1"/>
    </xf>
    <xf numFmtId="4" fontId="20" fillId="6" borderId="15" applyAlignment="1" pivotButton="0" quotePrefix="0" xfId="0">
      <alignment horizontal="right" vertical="top" wrapText="1"/>
    </xf>
    <xf numFmtId="4" fontId="20" fillId="6" borderId="12" applyAlignment="1" pivotButton="0" quotePrefix="0" xfId="0">
      <alignment horizontal="center" vertical="center"/>
    </xf>
    <xf numFmtId="4" fontId="20" fillId="6" borderId="11" applyAlignment="1" pivotButton="0" quotePrefix="0" xfId="0">
      <alignment horizontal="center" vertical="center"/>
    </xf>
    <xf numFmtId="0" fontId="22" fillId="8" borderId="4" applyAlignment="1" pivotButton="0" quotePrefix="0" xfId="0">
      <alignment horizontal="center" vertical="top" wrapText="1"/>
    </xf>
    <xf numFmtId="0" fontId="22" fillId="8" borderId="7" applyAlignment="1" pivotButton="0" quotePrefix="0" xfId="0">
      <alignment horizontal="center" vertical="top" wrapText="1"/>
    </xf>
    <xf numFmtId="0" fontId="22" fillId="8" borderId="6" applyAlignment="1" pivotButton="0" quotePrefix="0" xfId="0">
      <alignment horizontal="center" vertical="top" wrapText="1"/>
    </xf>
    <xf numFmtId="166" fontId="20" fillId="6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left" vertical="top" wrapText="1"/>
    </xf>
    <xf numFmtId="168" fontId="4" fillId="6" borderId="0" applyAlignment="1" pivotButton="0" quotePrefix="0" xfId="0">
      <alignment horizontal="left" vertical="top" wrapText="1"/>
    </xf>
    <xf numFmtId="4" fontId="4" fillId="6" borderId="0" applyAlignment="1" pivotButton="0" quotePrefix="0" xfId="0">
      <alignment horizontal="right" vertical="top" wrapText="1"/>
    </xf>
    <xf numFmtId="0" fontId="33" fillId="6" borderId="0" applyAlignment="1" pivotButton="0" quotePrefix="0" xfId="0">
      <alignment horizontal="left" vertical="top" wrapText="1"/>
    </xf>
    <xf numFmtId="168" fontId="33" fillId="6" borderId="0" applyAlignment="1" pivotButton="0" quotePrefix="0" xfId="0">
      <alignment horizontal="left" vertical="top" wrapText="1"/>
    </xf>
    <xf numFmtId="4" fontId="33" fillId="6" borderId="0" applyAlignment="1" pivotButton="0" quotePrefix="0" xfId="0">
      <alignment horizontal="right" vertical="top" wrapText="1"/>
    </xf>
    <xf numFmtId="166" fontId="0" fillId="0" borderId="0" applyAlignment="1" pivotButton="0" quotePrefix="0" xfId="15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166" fontId="0" fillId="0" borderId="13" applyAlignment="1" pivotButton="0" quotePrefix="0" xfId="15">
      <alignment horizontal="general" vertical="bottom"/>
    </xf>
    <xf numFmtId="166" fontId="0" fillId="0" borderId="15" applyAlignment="1" pivotButton="0" quotePrefix="0" xfId="15">
      <alignment horizontal="general" vertical="bottom"/>
    </xf>
    <xf numFmtId="0" fontId="0" fillId="0" borderId="9" applyAlignment="1" pivotButton="0" quotePrefix="0" xfId="0">
      <alignment horizontal="general" vertical="bottom"/>
    </xf>
    <xf numFmtId="166" fontId="0" fillId="0" borderId="10" applyAlignment="1" pivotButton="0" quotePrefix="0" xfId="15">
      <alignment horizontal="general" vertical="bottom"/>
    </xf>
    <xf numFmtId="0" fontId="0" fillId="0" borderId="14" applyAlignment="1" pivotButton="0" quotePrefix="0" xfId="0">
      <alignment horizontal="general" vertical="bottom"/>
    </xf>
    <xf numFmtId="166" fontId="0" fillId="0" borderId="14" applyAlignment="1" pivotButton="0" quotePrefix="0" xfId="15">
      <alignment horizontal="general" vertical="bottom"/>
    </xf>
    <xf numFmtId="166" fontId="0" fillId="0" borderId="17" applyAlignment="1" pivotButton="0" quotePrefix="0" xfId="15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7" borderId="5" applyAlignment="1" pivotButton="0" quotePrefix="0" xfId="0">
      <alignment horizontal="general" vertical="bottom"/>
    </xf>
    <xf numFmtId="0" fontId="20" fillId="6" borderId="5" applyAlignment="1" pivotButton="0" quotePrefix="0" xfId="0">
      <alignment horizontal="left" vertical="center" wrapText="1"/>
    </xf>
    <xf numFmtId="166" fontId="0" fillId="0" borderId="5" applyAlignment="1" pivotButton="0" quotePrefix="0" xfId="15">
      <alignment horizontal="general" vertical="bottom"/>
    </xf>
    <xf numFmtId="166" fontId="0" fillId="0" borderId="5" applyAlignment="1" pivotButton="0" quotePrefix="0" xfId="0">
      <alignment horizontal="general" vertical="bottom"/>
    </xf>
    <xf numFmtId="166" fontId="0" fillId="7" borderId="5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left" vertical="top" wrapText="1"/>
    </xf>
    <xf numFmtId="166" fontId="5" fillId="0" borderId="5" applyAlignment="1" pivotButton="0" quotePrefix="0" xfId="15">
      <alignment horizontal="general" vertical="bottom"/>
    </xf>
    <xf numFmtId="0" fontId="5" fillId="0" borderId="5" applyAlignment="1" pivotButton="0" quotePrefix="0" xfId="0">
      <alignment horizontal="left" vertical="bottom"/>
    </xf>
    <xf numFmtId="0" fontId="6" fillId="0" borderId="6" applyAlignment="1" pivotButton="0" quotePrefix="0" xfId="0">
      <alignment horizontal="left" vertical="top" wrapText="1"/>
    </xf>
    <xf numFmtId="0" fontId="36" fillId="0" borderId="5" applyAlignment="1" pivotButton="0" quotePrefix="0" xfId="0">
      <alignment horizontal="general" vertical="bottom"/>
    </xf>
    <xf numFmtId="166" fontId="36" fillId="0" borderId="5" applyAlignment="1" pivotButton="0" quotePrefix="0" xfId="0">
      <alignment horizontal="general" vertical="bottom"/>
    </xf>
    <xf numFmtId="168" fontId="36" fillId="0" borderId="0" applyAlignment="1" pivotButton="0" quotePrefix="0" xfId="0">
      <alignment horizontal="general" vertical="bottom"/>
    </xf>
    <xf numFmtId="166" fontId="5" fillId="11" borderId="5" applyAlignment="1" pivotButton="0" quotePrefix="0" xfId="15">
      <alignment horizontal="general" vertical="bottom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166" fontId="3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4" fontId="5" fillId="0" borderId="18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left" vertical="top" wrapText="1"/>
    </xf>
    <xf numFmtId="0" fontId="20" fillId="6" borderId="6" applyAlignment="1" pivotButton="0" quotePrefix="0" xfId="0">
      <alignment horizontal="left" vertical="center" wrapText="1"/>
    </xf>
    <xf numFmtId="0" fontId="20" fillId="0" borderId="7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166" fontId="5" fillId="0" borderId="4" applyAlignment="1" pivotButton="0" quotePrefix="0" xfId="15">
      <alignment horizontal="general" vertical="bottom"/>
    </xf>
    <xf numFmtId="0" fontId="5" fillId="0" borderId="16" applyAlignment="1" pivotButton="0" quotePrefix="0" xfId="0">
      <alignment horizontal="left" vertical="bottom"/>
    </xf>
    <xf numFmtId="0" fontId="36" fillId="0" borderId="15" applyAlignment="1" pivotButton="0" quotePrefix="0" xfId="0">
      <alignment horizontal="general" vertical="bottom"/>
    </xf>
    <xf numFmtId="0" fontId="37" fillId="0" borderId="4" applyAlignment="1" pivotButton="0" quotePrefix="0" xfId="0">
      <alignment horizontal="general" vertical="bottom"/>
    </xf>
    <xf numFmtId="0" fontId="36" fillId="0" borderId="6" applyAlignment="1" pivotButton="0" quotePrefix="0" xfId="0">
      <alignment horizontal="general" vertical="bottom"/>
    </xf>
    <xf numFmtId="166" fontId="36" fillId="0" borderId="4" applyAlignment="1" pivotButton="0" quotePrefix="0" xfId="0">
      <alignment horizontal="general" vertical="bottom"/>
    </xf>
    <xf numFmtId="0" fontId="36" fillId="0" borderId="18" applyAlignment="1" pivotButton="0" quotePrefix="0" xfId="0">
      <alignment horizontal="general" vertical="bottom"/>
    </xf>
    <xf numFmtId="0" fontId="36" fillId="0" borderId="17" applyAlignment="1" pivotButton="0" quotePrefix="0" xfId="0">
      <alignment horizontal="general" vertical="bottom"/>
    </xf>
    <xf numFmtId="0" fontId="20" fillId="0" borderId="4" applyAlignment="1" pivotButton="0" quotePrefix="0" xfId="0">
      <alignment horizontal="left" vertical="center"/>
    </xf>
    <xf numFmtId="0" fontId="20" fillId="0" borderId="6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center" vertical="top" wrapText="1"/>
    </xf>
    <xf numFmtId="166" fontId="5" fillId="0" borderId="5" applyAlignment="1" pivotButton="0" quotePrefix="0" xfId="15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top" wrapText="1"/>
    </xf>
    <xf numFmtId="0" fontId="20" fillId="0" borderId="7" applyAlignment="1" pivotButton="0" quotePrefix="0" xfId="0">
      <alignment horizontal="left" vertical="center"/>
    </xf>
    <xf numFmtId="0" fontId="20" fillId="6" borderId="7" applyAlignment="1" pivotButton="0" quotePrefix="0" xfId="0">
      <alignment horizontal="left" vertical="center" wrapText="1"/>
    </xf>
    <xf numFmtId="166" fontId="20" fillId="6" borderId="7" applyAlignment="1" pivotButton="0" quotePrefix="0" xfId="15">
      <alignment horizontal="center" vertical="center" wrapText="1"/>
    </xf>
    <xf numFmtId="0" fontId="20" fillId="0" borderId="5" applyAlignment="1" pivotButton="0" quotePrefix="0" xfId="0">
      <alignment horizontal="left" vertical="center"/>
    </xf>
    <xf numFmtId="0" fontId="20" fillId="6" borderId="11" applyAlignment="1" pivotButton="0" quotePrefix="0" xfId="0">
      <alignment horizontal="left" vertical="center" wrapText="1"/>
    </xf>
    <xf numFmtId="0" fontId="20" fillId="0" borderId="6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bottom"/>
    </xf>
    <xf numFmtId="0" fontId="5" fillId="0" borderId="11" applyAlignment="1" pivotButton="0" quotePrefix="0" xfId="0">
      <alignment horizontal="left" vertical="top" wrapText="1"/>
    </xf>
    <xf numFmtId="166" fontId="5" fillId="0" borderId="11" applyAlignment="1" pivotButton="0" quotePrefix="0" xfId="15">
      <alignment horizontal="general" vertical="bottom"/>
    </xf>
    <xf numFmtId="0" fontId="6" fillId="0" borderId="17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left" vertical="top" wrapText="1"/>
    </xf>
    <xf numFmtId="166" fontId="5" fillId="0" borderId="16" applyAlignment="1" pivotButton="0" quotePrefix="0" xfId="15">
      <alignment horizontal="general" vertical="bottom"/>
    </xf>
    <xf numFmtId="0" fontId="6" fillId="0" borderId="12" applyAlignment="1" pivotButton="0" quotePrefix="0" xfId="0">
      <alignment horizontal="left" vertical="top" wrapText="1"/>
    </xf>
    <xf numFmtId="0" fontId="20" fillId="0" borderId="5" applyAlignment="1" pivotButton="0" quotePrefix="0" xfId="0">
      <alignment horizontal="left" vertical="top" wrapText="1"/>
    </xf>
    <xf numFmtId="4" fontId="20" fillId="0" borderId="4" applyAlignment="1" pivotButton="0" quotePrefix="0" xfId="0">
      <alignment horizontal="left" vertical="center"/>
    </xf>
    <xf numFmtId="0" fontId="36" fillId="0" borderId="11" applyAlignment="1" pivotButton="0" quotePrefix="0" xfId="0">
      <alignment horizontal="general" vertical="bottom"/>
    </xf>
    <xf numFmtId="166" fontId="36" fillId="0" borderId="18" applyAlignment="1" pivotButton="0" quotePrefix="0" xfId="0">
      <alignment horizontal="general" vertical="bottom"/>
    </xf>
    <xf numFmtId="0" fontId="18" fillId="0" borderId="5" applyAlignment="1" pivotButton="0" quotePrefix="0" xfId="0">
      <alignment horizontal="left" vertical="top" wrapText="1"/>
    </xf>
    <xf numFmtId="0" fontId="38" fillId="0" borderId="5" applyAlignment="1" pivotButton="0" quotePrefix="0" xfId="0">
      <alignment horizontal="general" vertical="bottom"/>
    </xf>
    <xf numFmtId="0" fontId="6" fillId="0" borderId="5" applyAlignment="1" pivotButton="0" quotePrefix="0" xfId="0">
      <alignment horizontal="center" vertical="top" wrapText="1"/>
    </xf>
    <xf numFmtId="166" fontId="36" fillId="0" borderId="5" applyAlignment="1" pivotButton="0" quotePrefix="0" xfId="15">
      <alignment horizontal="general" vertical="bottom"/>
    </xf>
    <xf numFmtId="0" fontId="20" fillId="0" borderId="5" applyAlignment="1" pivotButton="0" quotePrefix="0" xfId="0">
      <alignment horizontal="general" vertical="bottom"/>
    </xf>
    <xf numFmtId="0" fontId="38" fillId="0" borderId="5" applyAlignment="1" pivotButton="0" quotePrefix="0" xfId="0">
      <alignment horizontal="left" vertical="bottom"/>
    </xf>
    <xf numFmtId="0" fontId="20" fillId="0" borderId="7" applyAlignment="1" pivotButton="0" quotePrefix="0" xfId="0">
      <alignment horizontal="general" vertical="bottom"/>
    </xf>
    <xf numFmtId="166" fontId="20" fillId="0" borderId="5" applyAlignment="1" pivotButton="0" quotePrefix="0" xfId="15">
      <alignment horizontal="left" vertical="top" wrapText="1"/>
    </xf>
    <xf numFmtId="0" fontId="37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top" wrapText="1"/>
    </xf>
    <xf numFmtId="166" fontId="5" fillId="0" borderId="18" applyAlignment="1" pivotButton="0" quotePrefix="0" xfId="15">
      <alignment horizontal="general" vertical="bottom"/>
    </xf>
    <xf numFmtId="4" fontId="20" fillId="0" borderId="18" applyAlignment="1" pivotButton="0" quotePrefix="0" xfId="0">
      <alignment horizontal="left" vertical="center"/>
    </xf>
    <xf numFmtId="0" fontId="20" fillId="0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general" vertical="center"/>
    </xf>
    <xf numFmtId="164" fontId="13" fillId="3" borderId="1" applyAlignment="1" pivotButton="0" quotePrefix="0" xfId="0">
      <alignment horizontal="general" vertical="center"/>
    </xf>
    <xf numFmtId="0" fontId="14" fillId="2" borderId="0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right" vertical="bottom"/>
    </xf>
    <xf numFmtId="164" fontId="5" fillId="0" borderId="1" applyAlignment="1" pivotButton="0" quotePrefix="0" xfId="0">
      <alignment horizontal="right" vertical="bottom"/>
    </xf>
    <xf numFmtId="0" fontId="15" fillId="4" borderId="1" applyAlignment="1" pivotButton="0" quotePrefix="0" xfId="0">
      <alignment horizontal="left" vertical="bottom"/>
    </xf>
    <xf numFmtId="0" fontId="5" fillId="4" borderId="2" applyAlignment="1" pivotButton="0" quotePrefix="0" xfId="0">
      <alignment horizontal="left" vertical="center"/>
    </xf>
    <xf numFmtId="0" fontId="0" fillId="0" borderId="20" pivotButton="0" quotePrefix="0" xfId="0"/>
    <xf numFmtId="165" fontId="15" fillId="4" borderId="1" applyAlignment="1" pivotButton="0" quotePrefix="0" xfId="0">
      <alignment horizontal="right" vertical="bottom"/>
    </xf>
    <xf numFmtId="164" fontId="15" fillId="4" borderId="1" applyAlignment="1" pivotButton="0" quotePrefix="0" xfId="0">
      <alignment horizontal="right" vertical="bottom"/>
    </xf>
    <xf numFmtId="0" fontId="16" fillId="3" borderId="1" applyAlignment="1" pivotButton="0" quotePrefix="0" xfId="0">
      <alignment horizontal="left" vertical="bottom"/>
    </xf>
    <xf numFmtId="0" fontId="5" fillId="3" borderId="2" applyAlignment="1" pivotButton="0" quotePrefix="0" xfId="0">
      <alignment horizontal="center" vertical="center"/>
    </xf>
    <xf numFmtId="164" fontId="16" fillId="3" borderId="1" applyAlignment="1" pivotButton="0" quotePrefix="0" xfId="0">
      <alignment horizontal="right" vertical="bottom"/>
    </xf>
    <xf numFmtId="0" fontId="0" fillId="0" borderId="3" pivotButton="0" quotePrefix="0" xfId="0"/>
    <xf numFmtId="0" fontId="17" fillId="5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165" fontId="19" fillId="0" borderId="1" applyAlignment="1" pivotButton="0" quotePrefix="0" xfId="0">
      <alignment horizontal="general" vertical="bottom"/>
    </xf>
    <xf numFmtId="165" fontId="18" fillId="0" borderId="1" applyAlignment="1" pivotButton="0" quotePrefix="0" xfId="0">
      <alignment horizontal="general" vertical="bottom"/>
    </xf>
    <xf numFmtId="164" fontId="19" fillId="0" borderId="1" applyAlignment="1" pivotButton="0" quotePrefix="0" xfId="0">
      <alignment horizontal="general" vertical="bottom"/>
    </xf>
    <xf numFmtId="164" fontId="18" fillId="0" borderId="1" applyAlignment="1" pivotButton="0" quotePrefix="0" xfId="0">
      <alignment horizontal="general" vertical="bottom"/>
    </xf>
    <xf numFmtId="0" fontId="5" fillId="0" borderId="3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167" fontId="20" fillId="0" borderId="0" applyAlignment="1" pivotButton="0" quotePrefix="0" xfId="15">
      <alignment horizontal="center" vertical="center"/>
    </xf>
    <xf numFmtId="167" fontId="20" fillId="6" borderId="0" applyAlignment="1" pivotButton="0" quotePrefix="0" xfId="15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general" vertical="center"/>
    </xf>
    <xf numFmtId="0" fontId="21" fillId="6" borderId="0" applyAlignment="1" pivotButton="0" quotePrefix="0" xfId="0">
      <alignment horizontal="general" vertical="center"/>
    </xf>
    <xf numFmtId="0" fontId="20" fillId="6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center"/>
    </xf>
    <xf numFmtId="4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15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2" fillId="7" borderId="4" applyAlignment="1" pivotButton="0" quotePrefix="0" xfId="0">
      <alignment horizontal="general" vertical="center"/>
    </xf>
    <xf numFmtId="0" fontId="22" fillId="7" borderId="5" applyAlignment="1" pivotButton="0" quotePrefix="0" xfId="0">
      <alignment horizontal="center" vertical="center"/>
    </xf>
    <xf numFmtId="0" fontId="22" fillId="7" borderId="6" applyAlignment="1" pivotButton="0" quotePrefix="0" xfId="0">
      <alignment horizontal="left" vertical="center"/>
    </xf>
    <xf numFmtId="0" fontId="22" fillId="7" borderId="7" applyAlignment="1" pivotButton="0" quotePrefix="0" xfId="0">
      <alignment horizontal="center" vertical="center"/>
    </xf>
    <xf numFmtId="167" fontId="22" fillId="7" borderId="5" applyAlignment="1" pivotButton="0" quotePrefix="0" xfId="15">
      <alignment horizontal="center" vertical="center"/>
    </xf>
    <xf numFmtId="167" fontId="22" fillId="7" borderId="7" applyAlignment="1" pivotButton="0" quotePrefix="0" xfId="15">
      <alignment horizontal="center" vertical="center"/>
    </xf>
    <xf numFmtId="0" fontId="22" fillId="7" borderId="7" applyAlignment="1" pivotButton="0" quotePrefix="0" xfId="0">
      <alignment horizontal="left" vertical="center"/>
    </xf>
    <xf numFmtId="4" fontId="22" fillId="7" borderId="7" applyAlignment="1" pivotButton="0" quotePrefix="0" xfId="0">
      <alignment horizontal="center" vertical="center"/>
    </xf>
    <xf numFmtId="4" fontId="22" fillId="7" borderId="5" applyAlignment="1" pivotButton="0" quotePrefix="0" xfId="0">
      <alignment horizontal="center" vertical="center"/>
    </xf>
    <xf numFmtId="0" fontId="20" fillId="6" borderId="8" applyAlignment="1" pivotButton="0" quotePrefix="0" xfId="0">
      <alignment horizontal="left" vertical="top"/>
    </xf>
    <xf numFmtId="0" fontId="20" fillId="0" borderId="9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168" fontId="20" fillId="0" borderId="0" applyAlignment="1" pivotButton="0" quotePrefix="0" xfId="0">
      <alignment horizontal="left" vertical="top"/>
    </xf>
    <xf numFmtId="4" fontId="20" fillId="0" borderId="0" applyAlignment="1" pivotButton="0" quotePrefix="0" xfId="0">
      <alignment horizontal="right" vertical="top"/>
    </xf>
    <xf numFmtId="167" fontId="20" fillId="0" borderId="8" applyAlignment="1" pivotButton="0" quotePrefix="0" xfId="15">
      <alignment horizontal="right" vertical="top" wrapText="1"/>
    </xf>
    <xf numFmtId="169" fontId="20" fillId="0" borderId="9" applyAlignment="1" pivotButton="0" quotePrefix="0" xfId="15">
      <alignment horizontal="left" vertical="center"/>
    </xf>
    <xf numFmtId="169" fontId="20" fillId="0" borderId="0" applyAlignment="1" pivotButton="0" quotePrefix="0" xfId="15">
      <alignment horizontal="center" vertical="center"/>
    </xf>
    <xf numFmtId="4" fontId="20" fillId="0" borderId="0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0" fontId="25" fillId="0" borderId="10" applyAlignment="1" pivotButton="0" quotePrefix="0" xfId="20">
      <alignment horizontal="center" vertical="center"/>
    </xf>
    <xf numFmtId="0" fontId="20" fillId="0" borderId="0" applyAlignment="1" pivotButton="0" quotePrefix="0" xfId="0">
      <alignment horizontal="center" vertical="bottom"/>
    </xf>
    <xf numFmtId="168" fontId="20" fillId="0" borderId="0" applyAlignment="1" pivotButton="0" quotePrefix="0" xfId="0">
      <alignment horizontal="left" vertical="bottom"/>
    </xf>
    <xf numFmtId="0" fontId="20" fillId="6" borderId="11" applyAlignment="1" pivotButton="0" quotePrefix="0" xfId="0">
      <alignment horizontal="left" vertical="top"/>
    </xf>
    <xf numFmtId="0" fontId="20" fillId="7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6" pivotButton="0" quotePrefix="0" xfId="0"/>
    <xf numFmtId="0" fontId="20" fillId="7" borderId="4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bottom"/>
    </xf>
    <xf numFmtId="4" fontId="20" fillId="0" borderId="0" applyAlignment="1" pivotButton="0" quotePrefix="0" xfId="0">
      <alignment horizontal="center" vertical="center"/>
    </xf>
    <xf numFmtId="0" fontId="22" fillId="7" borderId="5" applyAlignment="1" pivotButton="0" quotePrefix="0" xfId="0">
      <alignment horizontal="general" vertical="center"/>
    </xf>
    <xf numFmtId="4" fontId="22" fillId="7" borderId="6" applyAlignment="1" pivotButton="0" quotePrefix="0" xfId="0">
      <alignment horizontal="center" vertical="center"/>
    </xf>
    <xf numFmtId="0" fontId="20" fillId="7" borderId="6" applyAlignment="1" pivotButton="0" quotePrefix="0" xfId="0">
      <alignment horizontal="left" vertical="center"/>
    </xf>
    <xf numFmtId="0" fontId="20" fillId="7" borderId="5" applyAlignment="1" pivotButton="0" quotePrefix="0" xfId="0">
      <alignment horizontal="center" vertical="center"/>
    </xf>
    <xf numFmtId="0" fontId="20" fillId="7" borderId="7" applyAlignment="1" pivotButton="0" quotePrefix="0" xfId="0">
      <alignment horizontal="center" vertical="center"/>
    </xf>
    <xf numFmtId="4" fontId="20" fillId="7" borderId="5" applyAlignment="1" pivotButton="0" quotePrefix="0" xfId="0">
      <alignment horizontal="center" vertical="center"/>
    </xf>
    <xf numFmtId="4" fontId="20" fillId="0" borderId="0" applyAlignment="1" pivotButton="0" quotePrefix="0" xfId="0">
      <alignment horizontal="center" vertical="bottom"/>
    </xf>
    <xf numFmtId="0" fontId="22" fillId="7" borderId="5" applyAlignment="1" pivotButton="0" quotePrefix="0" xfId="0">
      <alignment horizontal="left" vertical="center"/>
    </xf>
    <xf numFmtId="4" fontId="22" fillId="7" borderId="4" applyAlignment="1" pivotButton="0" quotePrefix="0" xfId="0">
      <alignment horizontal="center" vertical="center"/>
    </xf>
    <xf numFmtId="0" fontId="20" fillId="7" borderId="4" applyAlignment="1" pivotButton="0" quotePrefix="0" xfId="0">
      <alignment horizontal="center" vertical="center"/>
    </xf>
    <xf numFmtId="4" fontId="20" fillId="7" borderId="4" applyAlignment="1" pivotButton="0" quotePrefix="0" xfId="0">
      <alignment horizontal="center" vertical="center"/>
    </xf>
    <xf numFmtId="0" fontId="25" fillId="0" borderId="0" applyAlignment="1" pivotButton="0" quotePrefix="0" xfId="20">
      <alignment horizontal="center" vertical="center"/>
    </xf>
    <xf numFmtId="4" fontId="22" fillId="0" borderId="0" applyAlignment="1" pivotButton="0" quotePrefix="0" xfId="0">
      <alignment horizontal="general" vertical="center"/>
    </xf>
    <xf numFmtId="0" fontId="20" fillId="7" borderId="7" applyAlignment="1" pivotButton="0" quotePrefix="0" xfId="0">
      <alignment horizontal="left" vertical="center"/>
    </xf>
    <xf numFmtId="4" fontId="20" fillId="7" borderId="6" applyAlignment="1" pivotButton="0" quotePrefix="0" xfId="0">
      <alignment horizontal="center" vertical="center"/>
    </xf>
    <xf numFmtId="0" fontId="22" fillId="7" borderId="6" applyAlignment="1" pivotButton="0" quotePrefix="0" xfId="0">
      <alignment horizontal="center" vertical="center"/>
    </xf>
    <xf numFmtId="0" fontId="20" fillId="7" borderId="5" applyAlignment="1" pivotButton="0" quotePrefix="0" xfId="293">
      <alignment horizontal="left" vertical="center"/>
    </xf>
    <xf numFmtId="4" fontId="20" fillId="7" borderId="5" applyAlignment="1" pivotButton="0" quotePrefix="0" xfId="0">
      <alignment horizontal="left" vertical="center"/>
    </xf>
    <xf numFmtId="0" fontId="20" fillId="7" borderId="6" applyAlignment="1" pivotButton="0" quotePrefix="0" xfId="0">
      <alignment horizontal="center" vertical="center"/>
    </xf>
    <xf numFmtId="0" fontId="20" fillId="0" borderId="12" applyAlignment="1" pivotButton="0" quotePrefix="0" xfId="0">
      <alignment horizontal="general" vertical="center"/>
    </xf>
    <xf numFmtId="0" fontId="20" fillId="0" borderId="13" applyAlignment="1" pivotButton="0" quotePrefix="0" xfId="0">
      <alignment horizontal="general" vertical="center"/>
    </xf>
    <xf numFmtId="0" fontId="20" fillId="0" borderId="13" applyAlignment="1" pivotButton="0" quotePrefix="0" xfId="0">
      <alignment horizontal="left" vertical="center"/>
    </xf>
    <xf numFmtId="168" fontId="20" fillId="0" borderId="13" applyAlignment="1" pivotButton="0" quotePrefix="0" xfId="0">
      <alignment horizontal="center" vertical="center"/>
    </xf>
    <xf numFmtId="168" fontId="20" fillId="0" borderId="13" applyAlignment="1" pivotButton="0" quotePrefix="0" xfId="0">
      <alignment horizontal="general" vertical="center"/>
    </xf>
    <xf numFmtId="0" fontId="20" fillId="0" borderId="9" applyAlignment="1" pivotButton="0" quotePrefix="0" xfId="0">
      <alignment horizontal="left" vertical="center"/>
    </xf>
    <xf numFmtId="4" fontId="25" fillId="0" borderId="9" applyAlignment="1" pivotButton="0" quotePrefix="0" xfId="20">
      <alignment horizontal="center" vertical="center"/>
    </xf>
    <xf numFmtId="0" fontId="20" fillId="0" borderId="8" applyAlignment="1" pivotButton="0" quotePrefix="0" xfId="0">
      <alignment horizontal="general" vertical="center"/>
    </xf>
    <xf numFmtId="168" fontId="20" fillId="0" borderId="0" applyAlignment="1" pivotButton="0" quotePrefix="0" xfId="0">
      <alignment horizontal="center" vertical="center"/>
    </xf>
    <xf numFmtId="168" fontId="20" fillId="0" borderId="0" applyAlignment="1" pivotButton="0" quotePrefix="0" xfId="0">
      <alignment horizontal="general" vertical="center"/>
    </xf>
    <xf numFmtId="0" fontId="20" fillId="0" borderId="11" applyAlignment="1" pivotButton="0" quotePrefix="0" xfId="0">
      <alignment horizontal="general" vertical="center"/>
    </xf>
    <xf numFmtId="0" fontId="20" fillId="0" borderId="14" applyAlignment="1" pivotButton="0" quotePrefix="0" xfId="0">
      <alignment horizontal="general" vertical="center"/>
    </xf>
    <xf numFmtId="0" fontId="20" fillId="0" borderId="14" applyAlignment="1" pivotButton="0" quotePrefix="0" xfId="0">
      <alignment horizontal="left" vertical="center"/>
    </xf>
    <xf numFmtId="168" fontId="20" fillId="0" borderId="14" applyAlignment="1" pivotButton="0" quotePrefix="0" xfId="0">
      <alignment horizontal="center" vertical="center"/>
    </xf>
    <xf numFmtId="168" fontId="20" fillId="0" borderId="14" applyAlignment="1" pivotButton="0" quotePrefix="0" xfId="0">
      <alignment horizontal="general" vertical="center"/>
    </xf>
    <xf numFmtId="0" fontId="20" fillId="0" borderId="14" applyAlignment="1" pivotButton="0" quotePrefix="0" xfId="0">
      <alignment horizontal="center" vertical="center"/>
    </xf>
    <xf numFmtId="0" fontId="20" fillId="7" borderId="5" applyAlignment="1" pivotButton="0" quotePrefix="0" xfId="0">
      <alignment horizontal="general" vertical="center"/>
    </xf>
    <xf numFmtId="167" fontId="20" fillId="7" borderId="5" applyAlignment="1" pivotButton="0" quotePrefix="0" xfId="15">
      <alignment horizontal="center" vertical="center"/>
    </xf>
    <xf numFmtId="0" fontId="20" fillId="0" borderId="15" applyAlignment="1" pivotButton="0" quotePrefix="0" xfId="0">
      <alignment horizontal="general" vertical="center"/>
    </xf>
    <xf numFmtId="0" fontId="20" fillId="6" borderId="0" applyAlignment="1" pivotButton="0" quotePrefix="0" xfId="0">
      <alignment horizontal="left" vertical="center" wrapText="1"/>
    </xf>
    <xf numFmtId="4" fontId="25" fillId="0" borderId="16" applyAlignment="1" pivotButton="0" quotePrefix="0" xfId="20">
      <alignment horizontal="center" vertical="center"/>
    </xf>
    <xf numFmtId="0" fontId="20" fillId="0" borderId="10" applyAlignment="1" pivotButton="0" quotePrefix="0" xfId="0">
      <alignment horizontal="general" vertical="center"/>
    </xf>
    <xf numFmtId="0" fontId="20" fillId="0" borderId="10" applyAlignment="1" pivotButton="0" quotePrefix="0" xfId="0">
      <alignment horizontal="left" vertical="center" wrapText="1"/>
    </xf>
    <xf numFmtId="167" fontId="20" fillId="0" borderId="0" applyAlignment="1" pivotButton="0" quotePrefix="0" xfId="15">
      <alignment horizontal="left" vertical="center"/>
    </xf>
    <xf numFmtId="0" fontId="20" fillId="0" borderId="9" applyAlignment="1" pivotButton="0" quotePrefix="0" xfId="0">
      <alignment horizontal="general" vertical="center"/>
    </xf>
    <xf numFmtId="167" fontId="20" fillId="0" borderId="14" applyAlignment="1" pivotButton="0" quotePrefix="0" xfId="15">
      <alignment horizontal="center" vertical="center"/>
    </xf>
    <xf numFmtId="167" fontId="20" fillId="6" borderId="14" applyAlignment="1" pivotButton="0" quotePrefix="0" xfId="15">
      <alignment horizontal="center" vertical="center"/>
    </xf>
    <xf numFmtId="0" fontId="20" fillId="0" borderId="18" applyAlignment="1" pivotButton="0" quotePrefix="0" xfId="0">
      <alignment horizontal="left" vertical="center"/>
    </xf>
    <xf numFmtId="0" fontId="20" fillId="0" borderId="11" applyAlignment="1" pivotButton="0" quotePrefix="0" xfId="0">
      <alignment horizontal="left" vertical="center"/>
    </xf>
    <xf numFmtId="4" fontId="25" fillId="0" borderId="18" applyAlignment="1" pivotButton="0" quotePrefix="0" xfId="20">
      <alignment horizontal="center" vertical="center"/>
    </xf>
    <xf numFmtId="4" fontId="20" fillId="7" borderId="4" applyAlignment="1" pivotButton="0" quotePrefix="0" xfId="0">
      <alignment horizontal="left" vertical="center"/>
    </xf>
    <xf numFmtId="0" fontId="27" fillId="6" borderId="0" applyAlignment="1" pivotButton="0" quotePrefix="0" xfId="0">
      <alignment horizontal="center" vertical="center"/>
    </xf>
    <xf numFmtId="4" fontId="22" fillId="7" borderId="5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top" wrapText="1"/>
    </xf>
    <xf numFmtId="4" fontId="20" fillId="6" borderId="0" applyAlignment="1" pivotButton="0" quotePrefix="0" xfId="0">
      <alignment horizontal="right" vertical="top" wrapText="1"/>
    </xf>
    <xf numFmtId="167" fontId="20" fillId="6" borderId="0" applyAlignment="1" pivotButton="0" quotePrefix="0" xfId="15">
      <alignment horizontal="right" vertical="top" wrapText="1"/>
    </xf>
    <xf numFmtId="167" fontId="20" fillId="6" borderId="0" applyAlignment="1" pivotButton="0" quotePrefix="0" xfId="15">
      <alignment horizontal="general" vertical="center"/>
    </xf>
    <xf numFmtId="169" fontId="20" fillId="6" borderId="0" applyAlignment="1" pivotButton="0" quotePrefix="0" xfId="19">
      <alignment horizontal="general" vertical="center"/>
    </xf>
    <xf numFmtId="2" fontId="20" fillId="6" borderId="0" applyAlignment="1" pivotButton="0" quotePrefix="0" xfId="0">
      <alignment horizontal="general" vertical="center"/>
    </xf>
    <xf numFmtId="168" fontId="20" fillId="6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top" wrapText="1"/>
    </xf>
    <xf numFmtId="168" fontId="20" fillId="0" borderId="0" applyAlignment="1" pivotButton="0" quotePrefix="0" xfId="0">
      <alignment horizontal="left" vertical="top" wrapText="1"/>
    </xf>
    <xf numFmtId="4" fontId="20" fillId="0" borderId="0" applyAlignment="1" pivotButton="0" quotePrefix="0" xfId="0">
      <alignment horizontal="right" vertical="top" wrapText="1"/>
    </xf>
    <xf numFmtId="167" fontId="20" fillId="0" borderId="0" applyAlignment="1" pivotButton="0" quotePrefix="0" xfId="15">
      <alignment horizontal="right" vertical="top" wrapText="1"/>
    </xf>
    <xf numFmtId="169" fontId="20" fillId="0" borderId="0" applyAlignment="1" pivotButton="0" quotePrefix="0" xfId="15">
      <alignment horizontal="left" vertical="center"/>
    </xf>
    <xf numFmtId="0" fontId="25" fillId="0" borderId="0" applyAlignment="1" pivotButton="0" quotePrefix="0" xfId="20">
      <alignment horizontal="center" vertical="bottom"/>
    </xf>
    <xf numFmtId="168" fontId="20" fillId="6" borderId="0" applyAlignment="1" pivotButton="0" quotePrefix="0" xfId="0">
      <alignment horizontal="left" vertical="top" wrapText="1"/>
    </xf>
    <xf numFmtId="0" fontId="20" fillId="6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center" vertical="bottom"/>
    </xf>
    <xf numFmtId="167" fontId="22" fillId="7" borderId="5" applyAlignment="1" pivotButton="0" quotePrefix="0" xfId="28">
      <alignment horizontal="center" vertical="center"/>
    </xf>
    <xf numFmtId="4" fontId="22" fillId="7" borderId="12" applyAlignment="1" pivotButton="0" quotePrefix="0" xfId="0">
      <alignment horizontal="center" vertical="center"/>
    </xf>
    <xf numFmtId="169" fontId="20" fillId="6" borderId="9" applyAlignment="1" pivotButton="0" quotePrefix="0" xfId="19">
      <alignment horizontal="general" vertical="top" wrapText="1"/>
    </xf>
    <xf numFmtId="0" fontId="22" fillId="6" borderId="0" applyAlignment="1" pivotButton="0" quotePrefix="0" xfId="0">
      <alignment horizontal="general" vertical="top" wrapText="1"/>
    </xf>
    <xf numFmtId="169" fontId="20" fillId="6" borderId="13" applyAlignment="1" pivotButton="0" quotePrefix="0" xfId="0">
      <alignment horizontal="general" vertical="top" wrapText="1"/>
    </xf>
    <xf numFmtId="0" fontId="20" fillId="6" borderId="0" applyAlignment="1" pivotButton="0" quotePrefix="0" xfId="0">
      <alignment horizontal="center" vertical="top" wrapText="1"/>
    </xf>
    <xf numFmtId="0" fontId="22" fillId="6" borderId="15" applyAlignment="1" pivotButton="0" quotePrefix="0" xfId="0">
      <alignment horizontal="left" vertical="center"/>
    </xf>
    <xf numFmtId="0" fontId="20" fillId="6" borderId="8" applyAlignment="1" pivotButton="0" quotePrefix="0" xfId="0">
      <alignment horizontal="general" vertical="bottom"/>
    </xf>
    <xf numFmtId="0" fontId="20" fillId="0" borderId="10" applyAlignment="1" pivotButton="0" quotePrefix="0" xfId="0">
      <alignment horizontal="center" vertical="center"/>
    </xf>
    <xf numFmtId="0" fontId="20" fillId="6" borderId="12" applyAlignment="1" pivotButton="0" quotePrefix="0" xfId="0">
      <alignment horizontal="center" vertical="center"/>
    </xf>
    <xf numFmtId="0" fontId="20" fillId="6" borderId="8" applyAlignment="1" pivotButton="0" quotePrefix="0" xfId="0">
      <alignment horizontal="left" vertical="top" wrapText="1"/>
    </xf>
    <xf numFmtId="0" fontId="22" fillId="6" borderId="9" applyAlignment="1" pivotButton="0" quotePrefix="0" xfId="0">
      <alignment horizontal="general" vertical="top" wrapText="1"/>
    </xf>
    <xf numFmtId="0" fontId="22" fillId="6" borderId="10" applyAlignment="1" pivotButton="0" quotePrefix="0" xfId="0">
      <alignment horizontal="general" vertical="top" wrapText="1"/>
    </xf>
    <xf numFmtId="0" fontId="22" fillId="6" borderId="10" applyAlignment="1" pivotButton="0" quotePrefix="0" xfId="0">
      <alignment horizontal="left" vertical="center"/>
    </xf>
    <xf numFmtId="0" fontId="20" fillId="6" borderId="8" applyAlignment="1" pivotButton="0" quotePrefix="0" xfId="0">
      <alignment horizontal="center" vertical="bottom"/>
    </xf>
    <xf numFmtId="0" fontId="20" fillId="6" borderId="10" applyAlignment="1" pivotButton="0" quotePrefix="0" xfId="0">
      <alignment horizontal="center" vertical="bottom"/>
    </xf>
    <xf numFmtId="0" fontId="0" fillId="0" borderId="8" pivotButton="0" quotePrefix="0" xfId="0"/>
    <xf numFmtId="0" fontId="20" fillId="6" borderId="11" applyAlignment="1" pivotButton="0" quotePrefix="0" xfId="0">
      <alignment horizontal="left" vertical="top" wrapText="1"/>
    </xf>
    <xf numFmtId="0" fontId="20" fillId="6" borderId="14" applyAlignment="1" pivotButton="0" quotePrefix="0" xfId="0">
      <alignment horizontal="left" vertical="top" wrapText="1"/>
    </xf>
    <xf numFmtId="168" fontId="20" fillId="6" borderId="14" applyAlignment="1" pivotButton="0" quotePrefix="0" xfId="0">
      <alignment horizontal="left" vertical="top" wrapText="1"/>
    </xf>
    <xf numFmtId="4" fontId="20" fillId="6" borderId="14" applyAlignment="1" pivotButton="0" quotePrefix="0" xfId="0">
      <alignment horizontal="right" vertical="top" wrapText="1"/>
    </xf>
    <xf numFmtId="0" fontId="22" fillId="6" borderId="18" applyAlignment="1" pivotButton="0" quotePrefix="0" xfId="0">
      <alignment horizontal="general" vertical="top" wrapText="1"/>
    </xf>
    <xf numFmtId="0" fontId="22" fillId="6" borderId="14" applyAlignment="1" pivotButton="0" quotePrefix="0" xfId="0">
      <alignment horizontal="general" vertical="top" wrapText="1"/>
    </xf>
    <xf numFmtId="0" fontId="22" fillId="6" borderId="17" applyAlignment="1" pivotButton="0" quotePrefix="0" xfId="0">
      <alignment horizontal="general" vertical="top" wrapText="1"/>
    </xf>
    <xf numFmtId="0" fontId="22" fillId="6" borderId="17" applyAlignment="1" pivotButton="0" quotePrefix="0" xfId="0">
      <alignment horizontal="left" vertical="center"/>
    </xf>
    <xf numFmtId="0" fontId="20" fillId="6" borderId="11" applyAlignment="1" pivotButton="0" quotePrefix="0" xfId="0">
      <alignment horizontal="center" vertical="bottom"/>
    </xf>
    <xf numFmtId="0" fontId="20" fillId="6" borderId="17" applyAlignment="1" pivotButton="0" quotePrefix="0" xfId="0">
      <alignment horizontal="center" vertical="bottom"/>
    </xf>
    <xf numFmtId="0" fontId="25" fillId="6" borderId="11" applyAlignment="1" pivotButton="0" quotePrefix="0" xfId="20">
      <alignment horizontal="center" vertical="center"/>
    </xf>
    <xf numFmtId="0" fontId="22" fillId="8" borderId="5" applyAlignment="1" pivotButton="0" quotePrefix="0" xfId="0">
      <alignment horizontal="center" vertical="top" wrapText="1"/>
    </xf>
    <xf numFmtId="4" fontId="20" fillId="9" borderId="4" applyAlignment="1" pivotButton="0" quotePrefix="0" xfId="0">
      <alignment horizontal="center" vertical="center"/>
    </xf>
    <xf numFmtId="0" fontId="20" fillId="9" borderId="5" applyAlignment="1" pivotButton="0" quotePrefix="0" xfId="0">
      <alignment horizontal="center" vertical="center"/>
    </xf>
    <xf numFmtId="0" fontId="22" fillId="6" borderId="13" applyAlignment="1" pivotButton="0" quotePrefix="0" xfId="0">
      <alignment horizontal="general" vertical="top" wrapText="1"/>
    </xf>
    <xf numFmtId="0" fontId="22" fillId="6" borderId="15" applyAlignment="1" pivotButton="0" quotePrefix="0" xfId="0">
      <alignment horizontal="general" vertical="top" wrapText="1"/>
    </xf>
    <xf numFmtId="0" fontId="20" fillId="6" borderId="8" applyAlignment="1" pivotButton="0" quotePrefix="0" xfId="0">
      <alignment horizontal="left" vertical="center" wrapText="1"/>
    </xf>
    <xf numFmtId="0" fontId="20" fillId="6" borderId="8" applyAlignment="1" pivotButton="0" quotePrefix="0" xfId="0">
      <alignment horizontal="center" vertical="center"/>
    </xf>
    <xf numFmtId="0" fontId="20" fillId="6" borderId="15" applyAlignment="1" pivotButton="0" quotePrefix="0" xfId="0">
      <alignment horizontal="center" vertical="center"/>
    </xf>
    <xf numFmtId="0" fontId="25" fillId="6" borderId="12" applyAlignment="1" pivotButton="0" quotePrefix="0" xfId="20">
      <alignment horizontal="center" vertical="center"/>
    </xf>
    <xf numFmtId="0" fontId="20" fillId="6" borderId="0" applyAlignment="1" pivotButton="0" quotePrefix="0" xfId="0">
      <alignment horizontal="general" vertical="top" wrapText="1"/>
    </xf>
    <xf numFmtId="4" fontId="20" fillId="6" borderId="9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top" wrapText="1"/>
    </xf>
    <xf numFmtId="0" fontId="20" fillId="6" borderId="7" applyAlignment="1" pivotButton="0" quotePrefix="0" xfId="0">
      <alignment horizontal="center" vertical="bottom"/>
    </xf>
    <xf numFmtId="0" fontId="22" fillId="6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left" vertical="bottom"/>
    </xf>
    <xf numFmtId="4" fontId="22" fillId="6" borderId="0" applyAlignment="1" pivotButton="0" quotePrefix="0" xfId="0">
      <alignment horizontal="general" vertical="bottom"/>
    </xf>
    <xf numFmtId="167" fontId="20" fillId="6" borderId="0" applyAlignment="1" pivotButton="0" quotePrefix="0" xfId="28">
      <alignment horizontal="center" vertical="bottom"/>
    </xf>
    <xf numFmtId="0" fontId="25" fillId="6" borderId="8" applyAlignment="1" pivotButton="0" quotePrefix="0" xfId="20">
      <alignment horizontal="center" vertical="bottom"/>
    </xf>
    <xf numFmtId="0" fontId="20" fillId="6" borderId="7" applyAlignment="1" pivotButton="0" quotePrefix="0" xfId="0">
      <alignment horizontal="general" vertical="bottom"/>
    </xf>
    <xf numFmtId="0" fontId="18" fillId="6" borderId="0" applyAlignment="1" pivotButton="0" quotePrefix="0" xfId="0">
      <alignment horizontal="left" vertical="top" wrapText="1"/>
    </xf>
    <xf numFmtId="168" fontId="18" fillId="6" borderId="0" applyAlignment="1" pivotButton="0" quotePrefix="0" xfId="0">
      <alignment horizontal="left" vertical="top" wrapText="1"/>
    </xf>
    <xf numFmtId="4" fontId="18" fillId="6" borderId="0" applyAlignment="1" pivotButton="0" quotePrefix="0" xfId="0">
      <alignment horizontal="right" vertical="top" wrapText="1"/>
    </xf>
    <xf numFmtId="0" fontId="20" fillId="6" borderId="9" applyAlignment="1" pivotButton="0" quotePrefix="0" xfId="0">
      <alignment horizontal="center" vertical="top" wrapText="1"/>
    </xf>
    <xf numFmtId="4" fontId="20" fillId="0" borderId="1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top" wrapText="1"/>
    </xf>
    <xf numFmtId="0" fontId="20" fillId="6" borderId="5" applyAlignment="1" pivotButton="0" quotePrefix="0" xfId="0">
      <alignment horizontal="center" vertical="center"/>
    </xf>
    <xf numFmtId="0" fontId="29" fillId="0" borderId="8" applyAlignment="1" pivotButton="0" quotePrefix="0" xfId="20">
      <alignment horizontal="center" vertical="center"/>
    </xf>
    <xf numFmtId="0" fontId="30" fillId="0" borderId="0" applyAlignment="1" pivotButton="0" quotePrefix="0" xfId="0">
      <alignment horizontal="general" vertical="bottom"/>
    </xf>
    <xf numFmtId="169" fontId="20" fillId="6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general" vertical="bottom"/>
    </xf>
    <xf numFmtId="4" fontId="20" fillId="6" borderId="10" applyAlignment="1" pivotButton="0" quotePrefix="0" xfId="0">
      <alignment horizontal="left" vertical="center"/>
    </xf>
    <xf numFmtId="0" fontId="25" fillId="0" borderId="8" applyAlignment="1" pivotButton="0" quotePrefix="0" xfId="20">
      <alignment horizontal="center" vertical="bottom"/>
    </xf>
    <xf numFmtId="4" fontId="20" fillId="6" borderId="8" applyAlignment="1" pivotButton="0" quotePrefix="0" xfId="0">
      <alignment horizontal="center" vertical="center"/>
    </xf>
    <xf numFmtId="169" fontId="20" fillId="6" borderId="9" applyAlignment="1" pivotButton="0" quotePrefix="0" xfId="0">
      <alignment horizontal="center" vertical="top" wrapText="1"/>
    </xf>
    <xf numFmtId="2" fontId="20" fillId="6" borderId="0" applyAlignment="1" pivotButton="0" quotePrefix="0" xfId="0">
      <alignment horizontal="center" vertical="top" wrapText="1"/>
    </xf>
    <xf numFmtId="0" fontId="0" fillId="0" borderId="11" pivotButton="0" quotePrefix="0" xfId="0"/>
    <xf numFmtId="0" fontId="25" fillId="0" borderId="8" applyAlignment="1" pivotButton="0" quotePrefix="0" xfId="20">
      <alignment horizontal="center" vertical="center"/>
    </xf>
    <xf numFmtId="0" fontId="20" fillId="8" borderId="5" applyAlignment="1" pivotButton="0" quotePrefix="0" xfId="0">
      <alignment horizontal="center" vertical="top" wrapText="1"/>
    </xf>
    <xf numFmtId="0" fontId="20" fillId="9" borderId="12" applyAlignment="1" pivotButton="0" quotePrefix="0" xfId="0">
      <alignment horizontal="center" vertical="center"/>
    </xf>
    <xf numFmtId="0" fontId="28" fillId="6" borderId="8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general" vertical="bottom" wrapText="1"/>
    </xf>
    <xf numFmtId="4" fontId="20" fillId="6" borderId="9" applyAlignment="1" pivotButton="0" quotePrefix="0" xfId="0">
      <alignment horizontal="general" vertical="center"/>
    </xf>
    <xf numFmtId="0" fontId="20" fillId="6" borderId="8" applyAlignment="1" pivotButton="0" quotePrefix="0" xfId="0">
      <alignment horizontal="general" vertical="center"/>
    </xf>
    <xf numFmtId="0" fontId="20" fillId="6" borderId="0" applyAlignment="1" pivotButton="0" quotePrefix="0" xfId="0">
      <alignment horizontal="left" vertical="top"/>
    </xf>
    <xf numFmtId="168" fontId="20" fillId="6" borderId="0" applyAlignment="1" pivotButton="0" quotePrefix="0" xfId="0">
      <alignment horizontal="left" vertical="top"/>
    </xf>
    <xf numFmtId="4" fontId="20" fillId="6" borderId="0" applyAlignment="1" pivotButton="0" quotePrefix="0" xfId="0">
      <alignment horizontal="right" vertical="top"/>
    </xf>
    <xf numFmtId="0" fontId="20" fillId="6" borderId="10" applyAlignment="1" pivotButton="0" quotePrefix="0" xfId="0">
      <alignment horizontal="center" vertical="center"/>
    </xf>
    <xf numFmtId="0" fontId="20" fillId="6" borderId="9" applyAlignment="1" pivotButton="0" quotePrefix="0" xfId="0">
      <alignment horizontal="center" vertical="center"/>
    </xf>
    <xf numFmtId="0" fontId="20" fillId="6" borderId="11" applyAlignment="1" pivotButton="0" quotePrefix="0" xfId="0">
      <alignment horizontal="center" vertical="center"/>
    </xf>
    <xf numFmtId="0" fontId="20" fillId="8" borderId="12" applyAlignment="1" pivotButton="0" quotePrefix="0" xfId="0">
      <alignment horizontal="center" vertical="top" wrapText="1"/>
    </xf>
    <xf numFmtId="0" fontId="0" fillId="0" borderId="13" pivotButton="0" quotePrefix="0" xfId="0"/>
    <xf numFmtId="0" fontId="0" fillId="0" borderId="15" pivotButton="0" quotePrefix="0" xfId="0"/>
    <xf numFmtId="0" fontId="20" fillId="6" borderId="12" applyAlignment="1" pivotButton="0" quotePrefix="0" xfId="0">
      <alignment horizontal="general" vertical="bottom"/>
    </xf>
    <xf numFmtId="169" fontId="20" fillId="6" borderId="9" applyAlignment="1" pivotButton="0" quotePrefix="0" xfId="19">
      <alignment horizontal="center" vertical="top" wrapText="1"/>
    </xf>
    <xf numFmtId="169" fontId="20" fillId="10" borderId="0" applyAlignment="1" pivotButton="0" quotePrefix="0" xfId="19">
      <alignment horizontal="center" vertical="top" wrapText="1"/>
    </xf>
    <xf numFmtId="0" fontId="20" fillId="10" borderId="0" applyAlignment="1" pivotButton="0" quotePrefix="0" xfId="0">
      <alignment horizontal="center" vertical="top" wrapText="1"/>
    </xf>
    <xf numFmtId="4" fontId="20" fillId="10" borderId="0" applyAlignment="1" pivotButton="0" quotePrefix="0" xfId="0">
      <alignment horizontal="right" vertical="top" wrapText="1"/>
    </xf>
    <xf numFmtId="169" fontId="20" fillId="6" borderId="0" applyAlignment="1" pivotButton="0" quotePrefix="0" xfId="19">
      <alignment horizontal="center" vertical="top" wrapText="1"/>
    </xf>
    <xf numFmtId="0" fontId="18" fillId="6" borderId="8" applyAlignment="1" pivotButton="0" quotePrefix="0" xfId="0">
      <alignment horizontal="left" vertical="top" wrapText="1"/>
    </xf>
    <xf numFmtId="0" fontId="20" fillId="6" borderId="11" applyAlignment="1" pivotButton="0" quotePrefix="0" xfId="0">
      <alignment horizontal="general" vertical="bottom"/>
    </xf>
    <xf numFmtId="0" fontId="22" fillId="8" borderId="11" applyAlignment="1" pivotButton="0" quotePrefix="0" xfId="0">
      <alignment horizontal="center" vertical="top" wrapText="1"/>
    </xf>
    <xf numFmtId="0" fontId="0" fillId="0" borderId="14" pivotButton="0" quotePrefix="0" xfId="0"/>
    <xf numFmtId="0" fontId="0" fillId="0" borderId="17" pivotButton="0" quotePrefix="0" xfId="0"/>
    <xf numFmtId="4" fontId="20" fillId="6" borderId="5" applyAlignment="1" pivotButton="0" quotePrefix="0" xfId="0">
      <alignment horizontal="left" vertical="center"/>
    </xf>
    <xf numFmtId="4" fontId="20" fillId="9" borderId="5" applyAlignment="1" pivotButton="0" quotePrefix="0" xfId="0">
      <alignment horizontal="center" vertical="center"/>
    </xf>
    <xf numFmtId="0" fontId="20" fillId="9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top" wrapText="1"/>
    </xf>
    <xf numFmtId="0" fontId="22" fillId="6" borderId="0" applyAlignment="1" pivotButton="0" quotePrefix="0" xfId="0">
      <alignment horizontal="center" vertical="top" wrapText="1"/>
    </xf>
    <xf numFmtId="4" fontId="20" fillId="6" borderId="9" applyAlignment="1" pivotButton="0" quotePrefix="0" xfId="0">
      <alignment horizontal="center" vertical="center"/>
    </xf>
    <xf numFmtId="169" fontId="22" fillId="6" borderId="0" applyAlignment="1" pivotButton="0" quotePrefix="0" xfId="0">
      <alignment horizontal="center" vertical="top" wrapText="1"/>
    </xf>
    <xf numFmtId="4" fontId="20" fillId="6" borderId="8" applyAlignment="1" pivotButton="0" quotePrefix="0" xfId="0">
      <alignment horizontal="general" vertical="center"/>
    </xf>
    <xf numFmtId="4" fontId="20" fillId="9" borderId="4" applyAlignment="1" pivotButton="0" quotePrefix="0" xfId="0">
      <alignment horizontal="left" vertical="center"/>
    </xf>
    <xf numFmtId="0" fontId="18" fillId="6" borderId="10" applyAlignment="1" pivotButton="0" quotePrefix="0" xfId="0">
      <alignment horizontal="left" vertical="top" wrapText="1"/>
    </xf>
    <xf numFmtId="0" fontId="18" fillId="6" borderId="17" applyAlignment="1" pivotButton="0" quotePrefix="0" xfId="0">
      <alignment horizontal="left" vertical="top" wrapText="1"/>
    </xf>
    <xf numFmtId="0" fontId="20" fillId="6" borderId="15" applyAlignment="1" pivotButton="0" quotePrefix="0" xfId="0">
      <alignment horizontal="left" vertical="top" wrapText="1"/>
    </xf>
    <xf numFmtId="4" fontId="20" fillId="6" borderId="10" applyAlignment="1" pivotButton="0" quotePrefix="0" xfId="0">
      <alignment horizontal="right" vertical="top" wrapText="1"/>
    </xf>
    <xf numFmtId="0" fontId="20" fillId="6" borderId="10" applyAlignment="1" pivotButton="0" quotePrefix="0" xfId="0">
      <alignment horizontal="left" vertical="top" wrapText="1"/>
    </xf>
    <xf numFmtId="0" fontId="20" fillId="6" borderId="18" applyAlignment="1" pivotButton="0" quotePrefix="0" xfId="0">
      <alignment horizontal="left" vertical="top"/>
    </xf>
    <xf numFmtId="0" fontId="20" fillId="6" borderId="14" applyAlignment="1" pivotButton="0" quotePrefix="0" xfId="0">
      <alignment horizontal="left" vertical="top"/>
    </xf>
    <xf numFmtId="168" fontId="20" fillId="6" borderId="14" applyAlignment="1" pivotButton="0" quotePrefix="0" xfId="0">
      <alignment horizontal="left" vertical="top"/>
    </xf>
    <xf numFmtId="4" fontId="20" fillId="6" borderId="14" applyAlignment="1" pivotButton="0" quotePrefix="0" xfId="0">
      <alignment horizontal="right" vertical="top"/>
    </xf>
    <xf numFmtId="4" fontId="20" fillId="6" borderId="17" applyAlignment="1" pivotButton="0" quotePrefix="0" xfId="0">
      <alignment horizontal="right" vertical="top"/>
    </xf>
    <xf numFmtId="0" fontId="22" fillId="8" borderId="5" applyAlignment="1" pivotButton="0" quotePrefix="0" xfId="0">
      <alignment horizontal="center" vertical="top"/>
    </xf>
    <xf numFmtId="0" fontId="20" fillId="6" borderId="9" applyAlignment="1" pivotButton="0" quotePrefix="0" xfId="0">
      <alignment horizontal="left" vertical="top" wrapText="1"/>
    </xf>
    <xf numFmtId="0" fontId="20" fillId="6" borderId="16" applyAlignment="1" pivotButton="0" quotePrefix="0" xfId="0">
      <alignment horizontal="left" vertical="top"/>
    </xf>
    <xf numFmtId="0" fontId="20" fillId="6" borderId="13" applyAlignment="1" pivotButton="0" quotePrefix="0" xfId="0">
      <alignment horizontal="left" vertical="top"/>
    </xf>
    <xf numFmtId="168" fontId="20" fillId="6" borderId="13" applyAlignment="1" pivotButton="0" quotePrefix="0" xfId="0">
      <alignment horizontal="left" vertical="top"/>
    </xf>
    <xf numFmtId="4" fontId="20" fillId="6" borderId="13" applyAlignment="1" pivotButton="0" quotePrefix="0" xfId="0">
      <alignment horizontal="right" vertical="top"/>
    </xf>
    <xf numFmtId="4" fontId="20" fillId="6" borderId="15" applyAlignment="1" pivotButton="0" quotePrefix="0" xfId="0">
      <alignment horizontal="right" vertical="top"/>
    </xf>
    <xf numFmtId="0" fontId="22" fillId="6" borderId="9" applyAlignment="1" pivotButton="0" quotePrefix="0" xfId="0">
      <alignment horizontal="center" vertical="top"/>
    </xf>
    <xf numFmtId="0" fontId="22" fillId="6" borderId="0" applyAlignment="1" pivotButton="0" quotePrefix="0" xfId="0">
      <alignment horizontal="center" vertical="top"/>
    </xf>
    <xf numFmtId="169" fontId="20" fillId="6" borderId="0" applyAlignment="1" pivotButton="0" quotePrefix="0" xfId="19">
      <alignment horizontal="center" vertical="top"/>
    </xf>
    <xf numFmtId="0" fontId="20" fillId="6" borderId="0" applyAlignment="1" pivotButton="0" quotePrefix="0" xfId="0">
      <alignment horizontal="center" vertical="top"/>
    </xf>
    <xf numFmtId="0" fontId="20" fillId="6" borderId="9" applyAlignment="1" pivotButton="0" quotePrefix="0" xfId="0">
      <alignment horizontal="left" vertical="top"/>
    </xf>
    <xf numFmtId="4" fontId="20" fillId="6" borderId="10" applyAlignment="1" pivotButton="0" quotePrefix="0" xfId="0">
      <alignment horizontal="right" vertical="top"/>
    </xf>
    <xf numFmtId="0" fontId="20" fillId="6" borderId="18" applyAlignment="1" pivotButton="0" quotePrefix="0" xfId="0">
      <alignment horizontal="left" vertical="top" wrapText="1"/>
    </xf>
    <xf numFmtId="4" fontId="20" fillId="6" borderId="17" applyAlignment="1" pivotButton="0" quotePrefix="0" xfId="0">
      <alignment horizontal="right" vertical="top" wrapText="1"/>
    </xf>
    <xf numFmtId="4" fontId="20" fillId="9" borderId="16" applyAlignment="1" pivotButton="0" quotePrefix="0" xfId="0">
      <alignment horizontal="center" vertical="center"/>
    </xf>
    <xf numFmtId="4" fontId="20" fillId="6" borderId="0" applyAlignment="1" pivotButton="0" quotePrefix="0" xfId="0">
      <alignment horizontal="left" vertical="center"/>
    </xf>
    <xf numFmtId="4" fontId="20" fillId="6" borderId="16" applyAlignment="1" pivotButton="0" quotePrefix="0" xfId="0">
      <alignment horizontal="left" vertical="center"/>
    </xf>
    <xf numFmtId="4" fontId="20" fillId="6" borderId="18" applyAlignment="1" pivotButton="0" quotePrefix="0" xfId="0">
      <alignment horizontal="left" vertical="center"/>
    </xf>
    <xf numFmtId="0" fontId="20" fillId="6" borderId="17" applyAlignment="1" pivotButton="0" quotePrefix="0" xfId="0">
      <alignment horizontal="center" vertical="center"/>
    </xf>
    <xf numFmtId="4" fontId="20" fillId="6" borderId="4" applyAlignment="1" pivotButton="0" quotePrefix="0" xfId="0">
      <alignment horizontal="left" vertical="center"/>
    </xf>
    <xf numFmtId="0" fontId="20" fillId="6" borderId="16" applyAlignment="1" pivotButton="0" quotePrefix="0" xfId="0">
      <alignment horizontal="left" vertical="top" wrapText="1"/>
    </xf>
    <xf numFmtId="0" fontId="20" fillId="6" borderId="13" applyAlignment="1" pivotButton="0" quotePrefix="0" xfId="0">
      <alignment horizontal="left" vertical="top" wrapText="1"/>
    </xf>
    <xf numFmtId="168" fontId="20" fillId="6" borderId="13" applyAlignment="1" pivotButton="0" quotePrefix="0" xfId="0">
      <alignment horizontal="left" vertical="top" wrapText="1"/>
    </xf>
    <xf numFmtId="4" fontId="20" fillId="6" borderId="13" applyAlignment="1" pivotButton="0" quotePrefix="0" xfId="0">
      <alignment horizontal="right" vertical="top" wrapText="1"/>
    </xf>
    <xf numFmtId="4" fontId="20" fillId="6" borderId="15" applyAlignment="1" pivotButton="0" quotePrefix="0" xfId="0">
      <alignment horizontal="right" vertical="top" wrapText="1"/>
    </xf>
    <xf numFmtId="4" fontId="20" fillId="6" borderId="12" applyAlignment="1" pivotButton="0" quotePrefix="0" xfId="0">
      <alignment horizontal="center" vertical="center"/>
    </xf>
    <xf numFmtId="4" fontId="20" fillId="6" borderId="11" applyAlignment="1" pivotButton="0" quotePrefix="0" xfId="0">
      <alignment horizontal="center" vertical="center"/>
    </xf>
    <xf numFmtId="0" fontId="22" fillId="8" borderId="4" applyAlignment="1" pivotButton="0" quotePrefix="0" xfId="0">
      <alignment horizontal="center" vertical="top" wrapText="1"/>
    </xf>
    <xf numFmtId="0" fontId="22" fillId="8" borderId="7" applyAlignment="1" pivotButton="0" quotePrefix="0" xfId="0">
      <alignment horizontal="center" vertical="top" wrapText="1"/>
    </xf>
    <xf numFmtId="0" fontId="22" fillId="8" borderId="6" applyAlignment="1" pivotButton="0" quotePrefix="0" xfId="0">
      <alignment horizontal="center" vertical="top" wrapText="1"/>
    </xf>
    <xf numFmtId="0" fontId="32" fillId="0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left" vertical="top" wrapText="1"/>
    </xf>
    <xf numFmtId="168" fontId="4" fillId="6" borderId="0" applyAlignment="1" pivotButton="0" quotePrefix="0" xfId="0">
      <alignment horizontal="left" vertical="top" wrapText="1"/>
    </xf>
    <xf numFmtId="4" fontId="4" fillId="6" borderId="0" applyAlignment="1" pivotButton="0" quotePrefix="0" xfId="0">
      <alignment horizontal="right" vertical="top" wrapText="1"/>
    </xf>
    <xf numFmtId="0" fontId="33" fillId="6" borderId="0" applyAlignment="1" pivotButton="0" quotePrefix="0" xfId="0">
      <alignment horizontal="left" vertical="top" wrapText="1"/>
    </xf>
    <xf numFmtId="168" fontId="33" fillId="6" borderId="0" applyAlignment="1" pivotButton="0" quotePrefix="0" xfId="0">
      <alignment horizontal="left" vertical="top" wrapText="1"/>
    </xf>
    <xf numFmtId="4" fontId="33" fillId="6" borderId="0" applyAlignment="1" pivotButton="0" quotePrefix="0" xfId="0">
      <alignment horizontal="right" vertical="top" wrapText="1"/>
    </xf>
  </cellXfs>
  <cellStyles count="28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custom_style" xfId="7"/>
    <cellStyle name="Millares 10" xfId="8"/>
    <cellStyle name="Millares 11" xfId="9"/>
    <cellStyle name="Millares 2" xfId="10"/>
    <cellStyle name="Millares 2 2" xfId="11"/>
    <cellStyle name="Millares 3" xfId="12"/>
    <cellStyle name="Millares 3 2" xfId="13"/>
    <cellStyle name="Millares 3 2 2" xfId="14"/>
    <cellStyle name="Millares 3 2 2 2" xfId="15"/>
    <cellStyle name="Millares 3 2 2 2 2" xfId="16"/>
    <cellStyle name="Millares 3 2 2 2 2 2" xfId="17"/>
    <cellStyle name="Millares 3 2 2 2 2 2 2" xfId="18"/>
    <cellStyle name="Millares 3 2 2 2 2 2 2 2" xfId="19"/>
    <cellStyle name="Millares 3 2 2 2 2 2 3" xfId="20"/>
    <cellStyle name="Millares 3 2 2 2 2 3" xfId="21"/>
    <cellStyle name="Millares 3 2 2 2 2 3 2" xfId="22"/>
    <cellStyle name="Millares 3 2 2 2 2 4" xfId="23"/>
    <cellStyle name="Millares 3 2 2 2 3" xfId="24"/>
    <cellStyle name="Millares 3 2 2 2 3 2" xfId="25"/>
    <cellStyle name="Millares 3 2 2 2 3 2 2" xfId="26"/>
    <cellStyle name="Millares 3 2 2 2 3 3" xfId="27"/>
    <cellStyle name="Millares 3 2 2 2 4" xfId="28"/>
    <cellStyle name="Millares 3 2 2 2 4 2" xfId="29"/>
    <cellStyle name="Millares 3 2 2 2 5" xfId="30"/>
    <cellStyle name="Millares 3 2 2 3" xfId="31"/>
    <cellStyle name="Millares 3 2 2 3 2" xfId="32"/>
    <cellStyle name="Millares 3 2 2 3 2 2" xfId="33"/>
    <cellStyle name="Millares 3 2 2 3 2 2 2" xfId="34"/>
    <cellStyle name="Millares 3 2 2 3 2 3" xfId="35"/>
    <cellStyle name="Millares 3 2 2 3 3" xfId="36"/>
    <cellStyle name="Millares 3 2 2 3 3 2" xfId="37"/>
    <cellStyle name="Millares 3 2 2 3 4" xfId="38"/>
    <cellStyle name="Millares 3 2 2 4" xfId="39"/>
    <cellStyle name="Millares 3 2 2 4 2" xfId="40"/>
    <cellStyle name="Millares 3 2 2 4 2 2" xfId="41"/>
    <cellStyle name="Millares 3 2 2 4 3" xfId="42"/>
    <cellStyle name="Millares 3 2 2 5" xfId="43"/>
    <cellStyle name="Millares 3 2 2 5 2" xfId="44"/>
    <cellStyle name="Millares 3 2 2 6" xfId="45"/>
    <cellStyle name="Millares 3 2 3" xfId="46"/>
    <cellStyle name="Millares 3 2 3 2" xfId="47"/>
    <cellStyle name="Millares 3 2 3 2 2" xfId="48"/>
    <cellStyle name="Millares 3 2 3 2 2 2" xfId="49"/>
    <cellStyle name="Millares 3 2 3 2 2 2 2" xfId="50"/>
    <cellStyle name="Millares 3 2 3 2 2 3" xfId="51"/>
    <cellStyle name="Millares 3 2 3 2 3" xfId="52"/>
    <cellStyle name="Millares 3 2 3 2 3 2" xfId="53"/>
    <cellStyle name="Millares 3 2 3 2 4" xfId="54"/>
    <cellStyle name="Millares 3 2 3 3" xfId="55"/>
    <cellStyle name="Millares 3 2 3 3 2" xfId="56"/>
    <cellStyle name="Millares 3 2 3 3 2 2" xfId="57"/>
    <cellStyle name="Millares 3 2 3 3 3" xfId="58"/>
    <cellStyle name="Millares 3 2 3 4" xfId="59"/>
    <cellStyle name="Millares 3 2 3 4 2" xfId="60"/>
    <cellStyle name="Millares 3 2 3 5" xfId="61"/>
    <cellStyle name="Millares 3 2 4" xfId="62"/>
    <cellStyle name="Millares 3 2 4 2" xfId="63"/>
    <cellStyle name="Millares 3 2 4 2 2" xfId="64"/>
    <cellStyle name="Millares 3 2 4 2 2 2" xfId="65"/>
    <cellStyle name="Millares 3 2 4 2 3" xfId="66"/>
    <cellStyle name="Millares 3 2 4 3" xfId="67"/>
    <cellStyle name="Millares 3 2 4 3 2" xfId="68"/>
    <cellStyle name="Millares 3 2 4 4" xfId="69"/>
    <cellStyle name="Millares 3 2 5" xfId="70"/>
    <cellStyle name="Millares 3 2 5 2" xfId="71"/>
    <cellStyle name="Millares 3 2 5 2 2" xfId="72"/>
    <cellStyle name="Millares 3 2 5 3" xfId="73"/>
    <cellStyle name="Millares 3 2 6" xfId="74"/>
    <cellStyle name="Millares 3 2 6 2" xfId="75"/>
    <cellStyle name="Millares 3 2 7" xfId="76"/>
    <cellStyle name="Millares 3 3" xfId="77"/>
    <cellStyle name="Millares 3 3 2" xfId="78"/>
    <cellStyle name="Millares 3 3 2 2" xfId="79"/>
    <cellStyle name="Millares 3 3 2 2 2" xfId="80"/>
    <cellStyle name="Millares 3 3 2 2 2 2" xfId="81"/>
    <cellStyle name="Millares 3 3 2 2 2 2 2" xfId="82"/>
    <cellStyle name="Millares 3 3 2 2 2 3" xfId="83"/>
    <cellStyle name="Millares 3 3 2 2 3" xfId="84"/>
    <cellStyle name="Millares 3 3 2 2 3 2" xfId="85"/>
    <cellStyle name="Millares 3 3 2 2 4" xfId="86"/>
    <cellStyle name="Millares 3 3 2 3" xfId="87"/>
    <cellStyle name="Millares 3 3 2 3 2" xfId="88"/>
    <cellStyle name="Millares 3 3 2 3 2 2" xfId="89"/>
    <cellStyle name="Millares 3 3 2 3 3" xfId="90"/>
    <cellStyle name="Millares 3 3 2 4" xfId="91"/>
    <cellStyle name="Millares 3 3 2 4 2" xfId="92"/>
    <cellStyle name="Millares 3 3 2 5" xfId="93"/>
    <cellStyle name="Millares 3 3 3" xfId="94"/>
    <cellStyle name="Millares 3 3 3 2" xfId="95"/>
    <cellStyle name="Millares 3 3 3 2 2" xfId="96"/>
    <cellStyle name="Millares 3 3 3 2 2 2" xfId="97"/>
    <cellStyle name="Millares 3 3 3 2 3" xfId="98"/>
    <cellStyle name="Millares 3 3 3 3" xfId="99"/>
    <cellStyle name="Millares 3 3 3 3 2" xfId="100"/>
    <cellStyle name="Millares 3 3 3 4" xfId="101"/>
    <cellStyle name="Millares 3 3 4" xfId="102"/>
    <cellStyle name="Millares 3 3 4 2" xfId="103"/>
    <cellStyle name="Millares 3 3 4 2 2" xfId="104"/>
    <cellStyle name="Millares 3 3 4 3" xfId="105"/>
    <cellStyle name="Millares 3 3 5" xfId="106"/>
    <cellStyle name="Millares 3 3 5 2" xfId="107"/>
    <cellStyle name="Millares 3 3 6" xfId="108"/>
    <cellStyle name="Millares 3 4" xfId="109"/>
    <cellStyle name="Millares 3 4 2" xfId="110"/>
    <cellStyle name="Millares 3 4 2 2" xfId="111"/>
    <cellStyle name="Millares 3 4 2 2 2" xfId="112"/>
    <cellStyle name="Millares 3 4 2 2 2 2" xfId="113"/>
    <cellStyle name="Millares 3 4 2 2 3" xfId="114"/>
    <cellStyle name="Millares 3 4 2 3" xfId="115"/>
    <cellStyle name="Millares 3 4 2 3 2" xfId="116"/>
    <cellStyle name="Millares 3 4 2 4" xfId="117"/>
    <cellStyle name="Millares 3 4 3" xfId="118"/>
    <cellStyle name="Millares 3 4 3 2" xfId="119"/>
    <cellStyle name="Millares 3 4 3 2 2" xfId="120"/>
    <cellStyle name="Millares 3 4 3 3" xfId="121"/>
    <cellStyle name="Millares 3 4 4" xfId="122"/>
    <cellStyle name="Millares 3 4 4 2" xfId="123"/>
    <cellStyle name="Millares 3 4 5" xfId="124"/>
    <cellStyle name="Millares 3 5" xfId="125"/>
    <cellStyle name="Millares 3 5 2" xfId="126"/>
    <cellStyle name="Millares 3 5 2 2" xfId="127"/>
    <cellStyle name="Millares 3 5 2 2 2" xfId="128"/>
    <cellStyle name="Millares 3 5 2 3" xfId="129"/>
    <cellStyle name="Millares 3 5 3" xfId="130"/>
    <cellStyle name="Millares 3 5 3 2" xfId="131"/>
    <cellStyle name="Millares 3 5 4" xfId="132"/>
    <cellStyle name="Millares 3 6" xfId="133"/>
    <cellStyle name="Millares 3 6 2" xfId="134"/>
    <cellStyle name="Millares 3 6 2 2" xfId="135"/>
    <cellStyle name="Millares 3 6 3" xfId="136"/>
    <cellStyle name="Millares 3 7" xfId="137"/>
    <cellStyle name="Millares 3 7 2" xfId="138"/>
    <cellStyle name="Millares 3 8" xfId="139"/>
    <cellStyle name="Millares 4" xfId="140"/>
    <cellStyle name="Millares 4 2" xfId="141"/>
    <cellStyle name="Millares 4 2 2" xfId="142"/>
    <cellStyle name="Millares 4 2 2 2" xfId="143"/>
    <cellStyle name="Millares 4 2 2 2 2" xfId="144"/>
    <cellStyle name="Millares 4 2 2 2 2 2" xfId="145"/>
    <cellStyle name="Millares 4 2 2 2 2 2 2" xfId="146"/>
    <cellStyle name="Millares 4 2 2 2 2 3" xfId="147"/>
    <cellStyle name="Millares 4 2 2 2 3" xfId="148"/>
    <cellStyle name="Millares 4 2 2 2 3 2" xfId="149"/>
    <cellStyle name="Millares 4 2 2 2 4" xfId="150"/>
    <cellStyle name="Millares 4 2 2 3" xfId="151"/>
    <cellStyle name="Millares 4 2 2 3 2" xfId="152"/>
    <cellStyle name="Millares 4 2 2 3 2 2" xfId="153"/>
    <cellStyle name="Millares 4 2 2 3 3" xfId="154"/>
    <cellStyle name="Millares 4 2 2 4" xfId="155"/>
    <cellStyle name="Millares 4 2 2 4 2" xfId="156"/>
    <cellStyle name="Millares 4 2 2 5" xfId="157"/>
    <cellStyle name="Millares 4 2 3" xfId="158"/>
    <cellStyle name="Millares 4 2 3 2" xfId="159"/>
    <cellStyle name="Millares 4 2 3 2 2" xfId="160"/>
    <cellStyle name="Millares 4 2 3 2 2 2" xfId="161"/>
    <cellStyle name="Millares 4 2 3 2 3" xfId="162"/>
    <cellStyle name="Millares 4 2 3 3" xfId="163"/>
    <cellStyle name="Millares 4 2 3 3 2" xfId="164"/>
    <cellStyle name="Millares 4 2 3 4" xfId="165"/>
    <cellStyle name="Millares 4 2 4" xfId="166"/>
    <cellStyle name="Millares 4 2 4 2" xfId="167"/>
    <cellStyle name="Millares 4 2 4 2 2" xfId="168"/>
    <cellStyle name="Millares 4 2 4 3" xfId="169"/>
    <cellStyle name="Millares 4 2 5" xfId="170"/>
    <cellStyle name="Millares 4 2 5 2" xfId="171"/>
    <cellStyle name="Millares 4 2 6" xfId="172"/>
    <cellStyle name="Millares 4 3" xfId="173"/>
    <cellStyle name="Millares 4 3 2" xfId="174"/>
    <cellStyle name="Millares 4 3 2 2" xfId="175"/>
    <cellStyle name="Millares 4 3 2 2 2" xfId="176"/>
    <cellStyle name="Millares 4 3 2 2 2 2" xfId="177"/>
    <cellStyle name="Millares 4 3 2 2 3" xfId="178"/>
    <cellStyle name="Millares 4 3 2 3" xfId="179"/>
    <cellStyle name="Millares 4 3 2 3 2" xfId="180"/>
    <cellStyle name="Millares 4 3 2 4" xfId="181"/>
    <cellStyle name="Millares 4 3 3" xfId="182"/>
    <cellStyle name="Millares 4 3 3 2" xfId="183"/>
    <cellStyle name="Millares 4 3 3 2 2" xfId="184"/>
    <cellStyle name="Millares 4 3 3 3" xfId="185"/>
    <cellStyle name="Millares 4 3 4" xfId="186"/>
    <cellStyle name="Millares 4 3 4 2" xfId="187"/>
    <cellStyle name="Millares 4 3 5" xfId="188"/>
    <cellStyle name="Millares 4 4" xfId="189"/>
    <cellStyle name="Millares 4 4 2" xfId="190"/>
    <cellStyle name="Millares 4 4 2 2" xfId="191"/>
    <cellStyle name="Millares 4 4 2 2 2" xfId="192"/>
    <cellStyle name="Millares 4 4 2 3" xfId="193"/>
    <cellStyle name="Millares 4 4 3" xfId="194"/>
    <cellStyle name="Millares 4 4 3 2" xfId="195"/>
    <cellStyle name="Millares 4 4 4" xfId="196"/>
    <cellStyle name="Millares 4 5" xfId="197"/>
    <cellStyle name="Millares 4 5 2" xfId="198"/>
    <cellStyle name="Millares 4 5 2 2" xfId="199"/>
    <cellStyle name="Millares 4 5 3" xfId="200"/>
    <cellStyle name="Millares 4 6" xfId="201"/>
    <cellStyle name="Millares 4 6 2" xfId="202"/>
    <cellStyle name="Millares 4 7" xfId="203"/>
    <cellStyle name="Millares 5" xfId="204"/>
    <cellStyle name="Millares 5 2" xfId="205"/>
    <cellStyle name="Millares 5 2 2" xfId="206"/>
    <cellStyle name="Millares 5 2 2 2" xfId="207"/>
    <cellStyle name="Millares 5 2 2 2 2" xfId="208"/>
    <cellStyle name="Millares 5 2 2 2 2 2" xfId="209"/>
    <cellStyle name="Millares 5 2 2 2 3" xfId="210"/>
    <cellStyle name="Millares 5 2 2 3" xfId="211"/>
    <cellStyle name="Millares 5 2 2 3 2" xfId="212"/>
    <cellStyle name="Millares 5 2 2 4" xfId="213"/>
    <cellStyle name="Millares 5 2 3" xfId="214"/>
    <cellStyle name="Millares 5 2 3 2" xfId="215"/>
    <cellStyle name="Millares 5 2 3 2 2" xfId="216"/>
    <cellStyle name="Millares 5 2 3 3" xfId="217"/>
    <cellStyle name="Millares 5 2 4" xfId="218"/>
    <cellStyle name="Millares 5 2 4 2" xfId="219"/>
    <cellStyle name="Millares 5 2 5" xfId="220"/>
    <cellStyle name="Millares 5 3" xfId="221"/>
    <cellStyle name="Millares 5 3 2" xfId="222"/>
    <cellStyle name="Millares 5 3 2 2" xfId="223"/>
    <cellStyle name="Millares 5 3 2 2 2" xfId="224"/>
    <cellStyle name="Millares 5 3 2 3" xfId="225"/>
    <cellStyle name="Millares 5 3 3" xfId="226"/>
    <cellStyle name="Millares 5 3 3 2" xfId="227"/>
    <cellStyle name="Millares 5 3 4" xfId="228"/>
    <cellStyle name="Millares 5 4" xfId="229"/>
    <cellStyle name="Millares 5 4 2" xfId="230"/>
    <cellStyle name="Millares 5 4 2 2" xfId="231"/>
    <cellStyle name="Millares 5 4 3" xfId="232"/>
    <cellStyle name="Millares 5 5" xfId="233"/>
    <cellStyle name="Millares 5 5 2" xfId="234"/>
    <cellStyle name="Millares 5 6" xfId="235"/>
    <cellStyle name="Millares 6" xfId="236"/>
    <cellStyle name="Millares 6 2" xfId="237"/>
    <cellStyle name="Millares 6 2 2" xfId="238"/>
    <cellStyle name="Millares 6 2 2 2" xfId="239"/>
    <cellStyle name="Millares 6 2 2 2 2" xfId="240"/>
    <cellStyle name="Millares 6 2 2 3" xfId="241"/>
    <cellStyle name="Millares 6 2 3" xfId="242"/>
    <cellStyle name="Millares 6 2 3 2" xfId="243"/>
    <cellStyle name="Millares 6 2 4" xfId="244"/>
    <cellStyle name="Millares 6 3" xfId="245"/>
    <cellStyle name="Millares 6 3 2" xfId="246"/>
    <cellStyle name="Millares 6 3 2 2" xfId="247"/>
    <cellStyle name="Millares 6 3 3" xfId="248"/>
    <cellStyle name="Millares 6 4" xfId="249"/>
    <cellStyle name="Millares 6 4 2" xfId="250"/>
    <cellStyle name="Millares 6 5" xfId="251"/>
    <cellStyle name="Millares 7" xfId="252"/>
    <cellStyle name="Millares 7 2" xfId="253"/>
    <cellStyle name="Millares 7 2 2" xfId="254"/>
    <cellStyle name="Millares 7 2 2 2" xfId="255"/>
    <cellStyle name="Millares 7 2 3" xfId="256"/>
    <cellStyle name="Millares 7 3" xfId="257"/>
    <cellStyle name="Millares 7 3 2" xfId="258"/>
    <cellStyle name="Millares 7 4" xfId="259"/>
    <cellStyle name="Millares 8" xfId="260"/>
    <cellStyle name="Millares 8 2" xfId="261"/>
    <cellStyle name="Millares 8 2 2" xfId="262"/>
    <cellStyle name="Millares 8 3" xfId="263"/>
    <cellStyle name="Millares 9" xfId="264"/>
    <cellStyle name="Millares 9 2" xfId="265"/>
    <cellStyle name="Normal 10" xfId="266"/>
    <cellStyle name="Normal 11" xfId="267"/>
    <cellStyle name="Normal 11 2" xfId="268"/>
    <cellStyle name="Normal 12" xfId="269"/>
    <cellStyle name="Normal 12 2" xfId="270"/>
    <cellStyle name="Normal 2" xfId="271"/>
    <cellStyle name="Normal 2 2" xfId="272"/>
    <cellStyle name="Normal 24" xfId="273"/>
    <cellStyle name="Normal 3" xfId="274"/>
    <cellStyle name="Normal 3 2" xfId="275"/>
    <cellStyle name="Normal 4" xfId="276"/>
    <cellStyle name="Normal 5" xfId="277"/>
    <cellStyle name="Normal 6" xfId="278"/>
    <cellStyle name="Normal 7" xfId="279"/>
    <cellStyle name="Normal 8" xfId="280"/>
    <cellStyle name="Normal 9" xfId="281"/>
    <cellStyle name="policy_number_style" xfId="282"/>
  </cellStyles>
  <dxfs count="9">
    <dxf>
      <font>
        <name val="Calibri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375623"/>
        <sz val="14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974706"/>
        <sz val="14"/>
      </font>
      <fill>
        <patternFill>
          <bgColor rgb="FFFCE4D6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CE4D6"/>
      <rgbColor rgb="FFD0CECE"/>
      <rgbColor rgb="FFC6E0B4"/>
      <rgbColor rgb="FFD9D9D9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75623"/>
      <rgbColor rgb="FF974706"/>
      <rgbColor rgb="FF993366"/>
      <rgbColor rgb="FF305496"/>
      <rgbColor rgb="FF202E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hVOUaNDJzV9Bxg7DP_2hgczSOdJkT-CE/view" TargetMode="External" Id="rId1" /><Relationship Type="http://schemas.openxmlformats.org/officeDocument/2006/relationships/hyperlink" Target="https://drive.google.com/file/d/1g6_e82za9104ZYTj1tJObToA4xrnxYRH/view" TargetMode="External" Id="rId2" /><Relationship Type="http://schemas.openxmlformats.org/officeDocument/2006/relationships/hyperlink" Target="https://drive.google.com/file/d/1njxe1k4KZjneol1wa_uPqQIulbIqec1D/view" TargetMode="External" Id="rId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10.6796875" defaultRowHeight="14.25" customHeight="0" zeroHeight="0" outlineLevelRow="0"/>
  <cols>
    <col width="33.78" customWidth="1" style="417" min="1" max="1"/>
    <col width="34.11" customWidth="1" style="417" min="2" max="2"/>
    <col width="30.11" customWidth="1" style="417" min="3" max="3"/>
    <col width="24.44" customWidth="1" style="417" min="4" max="4"/>
  </cols>
  <sheetData>
    <row r="1" ht="21" customHeight="1" s="418">
      <c r="A1" s="419" t="inlineStr">
        <is>
          <t>RESUMEN EJECUTIVO</t>
        </is>
      </c>
    </row>
    <row r="2" ht="14.25" customHeight="1" s="418">
      <c r="A2" s="420">
        <f>+Detalle!A1</f>
        <v/>
      </c>
    </row>
    <row r="4" ht="14.25" customHeight="1" s="418">
      <c r="A4" s="421" t="inlineStr">
        <is>
          <t>ESTADO DE LIQUIDEZ</t>
        </is>
      </c>
      <c r="B4" s="421" t="inlineStr">
        <is>
          <t>TOTAL A PAGAR (US$)</t>
        </is>
      </c>
      <c r="C4" s="421" t="inlineStr">
        <is>
          <t>SALDO DISPONIBLE (US$)</t>
        </is>
      </c>
      <c r="D4" s="421" t="inlineStr">
        <is>
          <t>SALDO PROYECTADO (US$ )</t>
        </is>
      </c>
    </row>
    <row r="5" ht="21" customHeight="1" s="418">
      <c r="A5" s="422">
        <f>IF(AND(D35&lt;0,OR(D36&lt;0,D37&lt;0)),"SE NECESITA VENDER Y TRANSFERIR DÓLARES",IF(D35&lt;0,"SE NECESITA VENDER DÓLARES",IF(OR(D36&lt;0,D37&lt;0),"SE NECESITA TRANSFERIR DÓLARES","LIQUIDEZ SUFICIENTE")))</f>
        <v/>
      </c>
      <c r="B5" s="423">
        <f>ROUNDUP(D18/10000,0)*10000</f>
        <v/>
      </c>
      <c r="C5" s="424">
        <f>+D25</f>
        <v/>
      </c>
      <c r="D5" s="424">
        <f>+C31</f>
        <v/>
      </c>
    </row>
    <row r="7" ht="15" customHeight="1" s="418">
      <c r="A7" s="425" t="inlineStr">
        <is>
          <t>I. PAGOS A REALIZAR — RESUMEN POR BANCO Y TOTAL</t>
        </is>
      </c>
    </row>
    <row r="8" ht="14.25" customHeight="1" s="418">
      <c r="A8" s="426" t="inlineStr">
        <is>
          <t>Banco</t>
        </is>
      </c>
      <c r="B8" s="426" t="inlineStr">
        <is>
          <t>Operación</t>
        </is>
      </c>
      <c r="C8" s="426" t="inlineStr">
        <is>
          <t>Moneda</t>
        </is>
      </c>
      <c r="D8" s="426" t="inlineStr">
        <is>
          <t>Importe</t>
        </is>
      </c>
    </row>
    <row r="9" ht="14.25" customHeight="1" s="418">
      <c r="A9" s="427" t="inlineStr">
        <is>
          <t>BCP</t>
        </is>
      </c>
      <c r="B9" s="427" t="inlineStr">
        <is>
          <t>Operación 1 - Pago masivo proveedores</t>
        </is>
      </c>
      <c r="C9" s="428" t="inlineStr">
        <is>
          <t>S/</t>
        </is>
      </c>
      <c r="D9" s="429">
        <f>+Detalle!O9</f>
        <v/>
      </c>
    </row>
    <row r="10" ht="14.25" customHeight="1" s="418">
      <c r="A10" s="427" t="inlineStr">
        <is>
          <t>BCP</t>
        </is>
      </c>
      <c r="B10" s="427" t="inlineStr">
        <is>
          <t>Operación 2 - Pago masivo proveedores</t>
        </is>
      </c>
      <c r="C10" s="428" t="inlineStr">
        <is>
          <t>US$</t>
        </is>
      </c>
      <c r="D10" s="430">
        <f>+Detalle!O15</f>
        <v/>
      </c>
    </row>
    <row r="11" ht="14.25" customHeight="1" s="418">
      <c r="A11" s="427" t="inlineStr">
        <is>
          <t>BCP</t>
        </is>
      </c>
      <c r="B11" s="427" t="inlineStr">
        <is>
          <t>Operación 3 - Pagos varios</t>
        </is>
      </c>
      <c r="C11" s="428" t="inlineStr">
        <is>
          <t>S/</t>
        </is>
      </c>
      <c r="D11" s="429">
        <f>+Detalle!O33</f>
        <v/>
      </c>
    </row>
    <row r="12" ht="14.25" customHeight="1" s="418">
      <c r="A12" s="427" t="inlineStr">
        <is>
          <t>BCP</t>
        </is>
      </c>
      <c r="B12" s="427" t="inlineStr">
        <is>
          <t>Operación 4 - Pagos varios</t>
        </is>
      </c>
      <c r="C12" s="428" t="inlineStr">
        <is>
          <t>US$</t>
        </is>
      </c>
      <c r="D12" s="430">
        <f>+Detalle!O39</f>
        <v/>
      </c>
    </row>
    <row r="13" ht="14.25" customHeight="1" s="418">
      <c r="A13" s="427" t="inlineStr">
        <is>
          <t>BCP</t>
        </is>
      </c>
      <c r="B13" s="427" t="inlineStr">
        <is>
          <t>Operación 5 - Pagos servicios</t>
        </is>
      </c>
      <c r="C13" s="428" t="inlineStr">
        <is>
          <t>S/</t>
        </is>
      </c>
      <c r="D13" s="429">
        <f>+Detalle!O45</f>
        <v/>
      </c>
    </row>
    <row r="14" ht="14.25" customHeight="1" s="418">
      <c r="A14" s="427" t="inlineStr">
        <is>
          <t>Interbank</t>
        </is>
      </c>
      <c r="B14" s="427" t="inlineStr">
        <is>
          <t>Operación 6 - Materia Prima Exterior</t>
        </is>
      </c>
      <c r="C14" s="428" t="inlineStr">
        <is>
          <t>US$</t>
        </is>
      </c>
      <c r="D14" s="430">
        <f>+Detalle!O84+Detalle!O84</f>
        <v/>
      </c>
    </row>
    <row r="15" ht="14.25" customHeight="1" s="418">
      <c r="A15" s="427" t="inlineStr">
        <is>
          <t>BCP</t>
        </is>
      </c>
      <c r="B15" s="427" t="inlineStr">
        <is>
          <t>Operación 7 - Materia Prima Nacional</t>
        </is>
      </c>
      <c r="C15" s="428" t="inlineStr">
        <is>
          <t>US$</t>
        </is>
      </c>
      <c r="D15" s="430">
        <f>+Detalle!O91</f>
        <v/>
      </c>
    </row>
    <row r="16" ht="14.25" customHeight="1" s="418">
      <c r="A16" s="431" t="inlineStr">
        <is>
          <t>TOTAL SOLES (S/)</t>
        </is>
      </c>
      <c r="B16" s="432" t="n"/>
      <c r="C16" s="433" t="n"/>
      <c r="D16" s="434">
        <f>+D9+D11+D13</f>
        <v/>
      </c>
    </row>
    <row r="17" ht="14.25" customHeight="1" s="418">
      <c r="A17" s="431" t="inlineStr">
        <is>
          <t>TOTAL DÓLARES (US$)</t>
        </is>
      </c>
      <c r="B17" s="432" t="n"/>
      <c r="C17" s="433" t="n"/>
      <c r="D17" s="435">
        <f>+D10+D12+D14</f>
        <v/>
      </c>
    </row>
    <row r="18" ht="14.25" customHeight="1" s="418">
      <c r="A18" s="436" t="inlineStr">
        <is>
          <t>TOTAL CONSOLIDADO (US$)</t>
        </is>
      </c>
      <c r="B18" s="437" t="inlineStr">
        <is>
          <t>Tipo de Cambio</t>
        </is>
      </c>
      <c r="C18" s="437" t="n">
        <v>3.5</v>
      </c>
      <c r="D18" s="438">
        <f>+(D16/C18)+D17</f>
        <v/>
      </c>
    </row>
    <row r="20" ht="15" customHeight="1" s="418">
      <c r="A20" s="425" t="inlineStr">
        <is>
          <t>II. SALDOS DISPONIBLES POR BANCO</t>
        </is>
      </c>
    </row>
    <row r="21" ht="14.25" customHeight="1" s="418">
      <c r="A21" s="426" t="inlineStr">
        <is>
          <t>Banco</t>
        </is>
      </c>
      <c r="B21" s="426" t="inlineStr">
        <is>
          <t>Saldo US$</t>
        </is>
      </c>
      <c r="C21" s="426" t="inlineStr">
        <is>
          <t>Saldo S/</t>
        </is>
      </c>
      <c r="D21" s="426" t="inlineStr">
        <is>
          <t>Total equiv. US$</t>
        </is>
      </c>
    </row>
    <row r="22" ht="14.25" customHeight="1" s="418">
      <c r="A22" s="427" t="inlineStr">
        <is>
          <t>BCP</t>
        </is>
      </c>
      <c r="B22" s="430" t="n"/>
      <c r="C22" s="429" t="n"/>
      <c r="D22" s="430">
        <f>+B22+(C22/C18)</f>
        <v/>
      </c>
    </row>
    <row r="23" ht="14.25" customHeight="1" s="418">
      <c r="A23" s="427" t="inlineStr">
        <is>
          <t>BBVA</t>
        </is>
      </c>
      <c r="B23" s="430" t="n"/>
      <c r="C23" s="429" t="n"/>
      <c r="D23" s="430">
        <f>+B23+(C23/C18)</f>
        <v/>
      </c>
    </row>
    <row r="24" ht="14.25" customHeight="1" s="418">
      <c r="A24" s="427" t="inlineStr">
        <is>
          <t>IBK</t>
        </is>
      </c>
      <c r="B24" s="430" t="n"/>
      <c r="C24" s="429" t="n"/>
      <c r="D24" s="430">
        <f>+B24+(C24/C18)</f>
        <v/>
      </c>
    </row>
    <row r="25" ht="14.25" customHeight="1" s="418">
      <c r="A25" s="431" t="inlineStr">
        <is>
          <t>TOTAL</t>
        </is>
      </c>
      <c r="B25" s="435">
        <f>+SUM(B22:B24)</f>
        <v/>
      </c>
      <c r="C25" s="434">
        <f>+SUM(C22:C24)</f>
        <v/>
      </c>
      <c r="D25" s="435">
        <f>+B25+(C25/C18)</f>
        <v/>
      </c>
    </row>
    <row r="27" ht="15" customHeight="1" s="418">
      <c r="A27" s="425" t="inlineStr">
        <is>
          <t>III. SALDO PROYECTADO (US$)</t>
        </is>
      </c>
    </row>
    <row r="28" ht="14.25" customHeight="1" s="418">
      <c r="A28" s="427" t="inlineStr">
        <is>
          <t>Saldo disponible actual</t>
        </is>
      </c>
      <c r="B28" s="439" t="n"/>
      <c r="C28" s="430">
        <f>+D25</f>
        <v/>
      </c>
      <c r="D28" s="439" t="n"/>
    </row>
    <row r="29" ht="14.25" customHeight="1" s="418">
      <c r="A29" s="427" t="inlineStr">
        <is>
          <t>(+) Ingreso estimado</t>
        </is>
      </c>
      <c r="B29" s="439" t="n"/>
      <c r="C29" s="430" t="n"/>
      <c r="D29" s="439" t="n"/>
    </row>
    <row r="30" ht="14.25" customHeight="1" s="418">
      <c r="A30" s="427" t="inlineStr">
        <is>
          <t>(-) Pagos programados semana</t>
        </is>
      </c>
      <c r="B30" s="439" t="n"/>
      <c r="C30" s="430">
        <f>+D18</f>
        <v/>
      </c>
      <c r="D30" s="439" t="n"/>
    </row>
    <row r="31" ht="14.25" customHeight="1" s="418">
      <c r="A31" s="436" t="inlineStr">
        <is>
          <t>(=) Nuevo saldo proyectado</t>
        </is>
      </c>
      <c r="B31" s="439" t="n"/>
      <c r="C31" s="438">
        <f>+C28+C29-C30</f>
        <v/>
      </c>
      <c r="D31" s="439" t="n"/>
    </row>
    <row r="33" ht="15" customHeight="1" s="418">
      <c r="A33" s="425" t="inlineStr">
        <is>
          <t>IV. ESTADO DE LIQUIDEZ</t>
        </is>
      </c>
    </row>
    <row r="34" ht="14.25" customHeight="1" s="418">
      <c r="A34" s="440" t="inlineStr">
        <is>
          <t>Cuenta</t>
        </is>
      </c>
      <c r="B34" s="440" t="inlineStr">
        <is>
          <t>Pagos a Realizar</t>
        </is>
      </c>
      <c r="C34" s="440" t="inlineStr">
        <is>
          <t>Saldo Disponible Para Pagos</t>
        </is>
      </c>
      <c r="D34" s="440" t="inlineStr">
        <is>
          <t>Excedente / (Déficit)</t>
        </is>
      </c>
    </row>
    <row r="35" ht="14.25" customHeight="1" s="418">
      <c r="A35" s="441" t="inlineStr">
        <is>
          <t>BCP SOLES</t>
        </is>
      </c>
      <c r="B35" s="442">
        <f>+D16</f>
        <v/>
      </c>
      <c r="C35" s="442">
        <f>+C22</f>
        <v/>
      </c>
      <c r="D35" s="443">
        <f>C35-B35</f>
        <v/>
      </c>
    </row>
    <row r="36" ht="14.25" customHeight="1" s="418">
      <c r="A36" s="441" t="inlineStr">
        <is>
          <t>BCP DÓLARES</t>
        </is>
      </c>
      <c r="B36" s="444">
        <f>+D10+D12</f>
        <v/>
      </c>
      <c r="C36" s="444">
        <f>+B22</f>
        <v/>
      </c>
      <c r="D36" s="445">
        <f>C36-B36</f>
        <v/>
      </c>
    </row>
    <row r="37" ht="14.25" customHeight="1" s="418">
      <c r="A37" s="441" t="inlineStr">
        <is>
          <t>INTERBANK DÓLARES</t>
        </is>
      </c>
      <c r="B37" s="444">
        <f>+D14</f>
        <v/>
      </c>
      <c r="C37" s="444">
        <f>+B24</f>
        <v/>
      </c>
      <c r="D37" s="445">
        <f>C37-B37</f>
        <v/>
      </c>
    </row>
    <row r="39" ht="15" customHeight="1" s="418">
      <c r="A39" s="425" t="inlineStr">
        <is>
          <t>V. ALERTAS Y ACCIONES REQUERIDAS</t>
        </is>
      </c>
    </row>
    <row r="40" ht="14.25" customHeight="1" s="418">
      <c r="A40" s="440" t="inlineStr">
        <is>
          <t>Cuenta</t>
        </is>
      </c>
      <c r="B40" s="440" t="inlineStr">
        <is>
          <t>Excedente / (Déficit)</t>
        </is>
      </c>
      <c r="C40" s="440" t="inlineStr">
        <is>
          <t>Acción</t>
        </is>
      </c>
      <c r="D40" s="440" t="inlineStr">
        <is>
          <t>Monto Venta/Transferencia</t>
        </is>
      </c>
    </row>
    <row r="41" ht="14.25" customHeight="1" s="418">
      <c r="A41" s="441" t="inlineStr">
        <is>
          <t>BCP SOLES</t>
        </is>
      </c>
      <c r="B41" s="443">
        <f>C35-B35</f>
        <v/>
      </c>
      <c r="C41" s="446">
        <f>IF(D35&lt;0,"SE NECESITA VENDER DÓLARES","LIQUIDEZ SUFICIENTE")</f>
        <v/>
      </c>
      <c r="D41" s="444">
        <f>IF(D35&lt;0,-D35/C18,0)</f>
        <v/>
      </c>
    </row>
    <row r="42" ht="14.25" customHeight="1" s="418">
      <c r="A42" s="441" t="inlineStr">
        <is>
          <t>BCP DÓLARES</t>
        </is>
      </c>
      <c r="B42" s="445">
        <f>+D36</f>
        <v/>
      </c>
      <c r="C42" s="446">
        <f>IF(D36&lt;0,"SE NECESITA TRANSFERIR DÓLARES","LIQUIDEZ SUFICIENTE")</f>
        <v/>
      </c>
      <c r="D42" s="444">
        <f>IF(D36&lt;0,-D36,0)</f>
        <v/>
      </c>
    </row>
    <row r="43" ht="14.25" customHeight="1" s="418">
      <c r="A43" s="441" t="inlineStr">
        <is>
          <t>INTERBANK DÓLARES</t>
        </is>
      </c>
      <c r="B43" s="445">
        <f>+D37</f>
        <v/>
      </c>
      <c r="C43" s="446">
        <f>IF(D37&lt;0,"SE NECESITA TRANSFERIR DÓLARES","LIQUIDEZ SUFICIENTE")</f>
        <v/>
      </c>
      <c r="D43" s="444">
        <f>IF(D37&lt;0,-D37,0)</f>
        <v/>
      </c>
    </row>
  </sheetData>
  <mergeCells count="17">
    <mergeCell ref="A1:D1"/>
    <mergeCell ref="A30:B30"/>
    <mergeCell ref="A27:D27"/>
    <mergeCell ref="B16:C16"/>
    <mergeCell ref="A29:B29"/>
    <mergeCell ref="C29:D29"/>
    <mergeCell ref="C30:D30"/>
    <mergeCell ref="A20:D20"/>
    <mergeCell ref="A28:B28"/>
    <mergeCell ref="A39:D39"/>
    <mergeCell ref="A7:D7"/>
    <mergeCell ref="C28:D28"/>
    <mergeCell ref="A2:D2"/>
    <mergeCell ref="B17:C17"/>
    <mergeCell ref="A33:D33"/>
    <mergeCell ref="C31:D31"/>
    <mergeCell ref="A31:B31"/>
  </mergeCells>
  <conditionalFormatting sqref="B41:B43">
    <cfRule type="cellIs" rank="0" priority="2" equalAverage="0" operator="greaterThanOrEqual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D35:D37">
    <cfRule type="cellIs" rank="0" priority="4" equalAverage="0" operator="greaterThanOrEqual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conditionalFormatting sqref="A5:B5">
    <cfRule type="cellIs" rank="0" priority="6" equalAverage="0" operator="equal" aboveAverage="0" dxfId="4" text="" percent="0" bottom="0">
      <formula>"LIQUIDEZ SUFICIENTE"</formula>
    </cfRule>
    <cfRule type="cellIs" rank="0" priority="7" equalAverage="0" operator="notEqual" aboveAverage="0" dxfId="5" text="" percent="0" bottom="0">
      <formula>"LIQUIDEZ SUFICIENTE"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FC15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93" activeCellId="0" sqref="A93"/>
    </sheetView>
  </sheetViews>
  <sheetFormatPr baseColWidth="8" defaultColWidth="53.3359375" defaultRowHeight="15" customHeight="1" zeroHeight="0" outlineLevelRow="0"/>
  <cols>
    <col width="47.44" customWidth="1" style="447" min="1" max="1"/>
    <col width="4.88" customWidth="1" style="448" min="2" max="2"/>
    <col width="15.66" customWidth="1" style="449" min="3" max="3"/>
    <col width="17.33" customWidth="1" style="448" min="4" max="4"/>
    <col width="12.33" customWidth="1" style="448" min="5" max="5"/>
    <col width="13.56" customWidth="1" style="448" min="6" max="6"/>
    <col width="13.67" customWidth="1" style="30" min="7" max="7"/>
    <col width="13.44" customWidth="1" style="30" min="8" max="8"/>
    <col width="13.11" customWidth="1" style="30" min="9" max="9"/>
    <col width="7.56" customWidth="1" style="450" min="10" max="10"/>
    <col width="9.56" customWidth="1" style="32" min="11" max="11"/>
    <col width="8.34" customWidth="1" style="451" min="12" max="12"/>
    <col width="7.88" customWidth="1" style="34" min="13" max="13"/>
    <col width="10.33" customWidth="1" style="30" min="14" max="14"/>
    <col width="17.88" customWidth="1" style="35" min="15" max="15"/>
    <col hidden="1" width="62.88" customWidth="1" style="449" min="16" max="16"/>
    <col width="16" customWidth="1" style="449" min="17" max="17"/>
    <col width="16" customWidth="1" style="448" min="18" max="18"/>
    <col width="14.56" customWidth="1" style="448" min="19" max="19"/>
    <col width="20.66" customWidth="1" style="448" min="20" max="20"/>
    <col width="10.56" customWidth="1" style="452" min="21" max="21"/>
    <col width="11.11" customWidth="1" style="37" min="22" max="22"/>
    <col width="9.880000000000001" customWidth="1" style="447" min="23" max="23"/>
    <col width="53.33" customWidth="1" style="447" min="24" max="25"/>
    <col width="8.67" customWidth="1" style="447" min="26" max="26"/>
    <col width="4.88" customWidth="1" style="447" min="27" max="27"/>
    <col width="10.33" customWidth="1" style="447" min="28" max="28"/>
    <col width="53.33" customWidth="1" style="447" min="29" max="16384"/>
  </cols>
  <sheetData>
    <row r="1" ht="15" customFormat="1" customHeight="1" s="453">
      <c r="A1" s="454" t="inlineStr">
        <is>
          <t>PAGOS PROVEEDORES 06/07/2026</t>
        </is>
      </c>
      <c r="B1" s="452" t="n"/>
      <c r="C1" s="455" t="n"/>
      <c r="D1" s="34" t="n"/>
      <c r="E1" s="34" t="n"/>
      <c r="F1" s="34" t="n"/>
      <c r="G1" s="34" t="n"/>
      <c r="H1" s="34" t="n"/>
      <c r="I1" s="34" t="n"/>
      <c r="J1" s="451" t="n"/>
      <c r="K1" s="40" t="n"/>
      <c r="L1" s="451" t="n"/>
      <c r="M1" s="34" t="n"/>
      <c r="N1" s="34" t="n"/>
      <c r="O1" s="41" t="n"/>
      <c r="P1" s="455" t="n"/>
      <c r="Q1" s="452" t="n"/>
      <c r="R1" s="452" t="n"/>
      <c r="S1" s="452" t="n"/>
      <c r="T1" s="452" t="n"/>
      <c r="U1" s="42" t="n"/>
    </row>
    <row r="2" ht="15" customHeight="1" s="418">
      <c r="D2" s="30" t="n"/>
      <c r="E2" s="30" t="n"/>
      <c r="F2" s="30" t="n"/>
      <c r="S2" s="452" t="n"/>
    </row>
    <row r="3" ht="15" customHeight="1" s="418">
      <c r="A3" s="456" t="inlineStr">
        <is>
          <t>I. DETALLE DE DOCUMENTOS</t>
        </is>
      </c>
      <c r="D3" s="30" t="n"/>
      <c r="E3" s="30" t="n"/>
      <c r="F3" s="30" t="n"/>
      <c r="S3" s="452" t="n"/>
    </row>
    <row r="4" ht="15" customHeight="1" s="418">
      <c r="A4" s="456" t="n"/>
      <c r="D4" s="30" t="n"/>
      <c r="E4" s="30" t="n"/>
      <c r="F4" s="30" t="n"/>
      <c r="N4" s="45" t="n"/>
      <c r="S4" s="452" t="n"/>
    </row>
    <row r="5" ht="15" customHeight="1" s="418">
      <c r="A5" s="456" t="inlineStr">
        <is>
          <t>Operación 1 - Pago masivo proveedores - Soles</t>
        </is>
      </c>
      <c r="E5" s="449" t="n"/>
      <c r="G5" s="458" t="n"/>
      <c r="N5" s="459" t="n"/>
      <c r="O5" s="460" t="n"/>
      <c r="S5" s="452" t="n"/>
    </row>
    <row r="6" ht="15" customHeight="1" s="418">
      <c r="A6" s="461" t="inlineStr">
        <is>
          <t>PROVEEDOR</t>
        </is>
      </c>
      <c r="B6" s="462" t="inlineStr">
        <is>
          <t>TIPO</t>
        </is>
      </c>
      <c r="C6" s="463" t="inlineStr">
        <is>
          <t>N° DOCUMENTO</t>
        </is>
      </c>
      <c r="D6" s="464" t="inlineStr">
        <is>
          <t>FEC. REGISTRO</t>
        </is>
      </c>
      <c r="E6" s="464" t="inlineStr">
        <is>
          <t>FEC.DOC</t>
        </is>
      </c>
      <c r="F6" s="464" t="inlineStr">
        <is>
          <t>FEC.VCTO</t>
        </is>
      </c>
      <c r="G6" s="54" t="inlineStr">
        <is>
          <t>IMPORTE</t>
        </is>
      </c>
      <c r="H6" s="54" t="inlineStr">
        <is>
          <t>PAGADO</t>
        </is>
      </c>
      <c r="I6" s="54" t="inlineStr">
        <is>
          <t>SALDO</t>
        </is>
      </c>
      <c r="J6" s="465" t="inlineStr">
        <is>
          <t>PLAZO</t>
        </is>
      </c>
      <c r="K6" s="56" t="inlineStr">
        <is>
          <t>% DET</t>
        </is>
      </c>
      <c r="L6" s="466" t="inlineStr">
        <is>
          <t>DET</t>
        </is>
      </c>
      <c r="M6" s="54" t="inlineStr">
        <is>
          <t>% RET</t>
        </is>
      </c>
      <c r="N6" s="54" t="inlineStr">
        <is>
          <t>RET</t>
        </is>
      </c>
      <c r="O6" s="58" t="inlineStr">
        <is>
          <t>Neto</t>
        </is>
      </c>
      <c r="P6" s="468" t="inlineStr">
        <is>
          <t>DETALLE</t>
        </is>
      </c>
      <c r="Q6" s="469" t="inlineStr">
        <is>
          <t>N° O/C-O/S</t>
        </is>
      </c>
      <c r="R6" s="468" t="inlineStr">
        <is>
          <t>N° Registro</t>
        </is>
      </c>
      <c r="S6" s="469" t="inlineStr">
        <is>
          <t>SUSTENTO</t>
        </is>
      </c>
      <c r="U6" s="30" t="n"/>
    </row>
    <row r="7" ht="15" customHeight="1" s="418">
      <c r="A7" s="470" t="n"/>
      <c r="B7" s="471" t="n"/>
      <c r="C7" s="472" t="n"/>
      <c r="D7" s="473" t="n"/>
      <c r="E7" s="473" t="n"/>
      <c r="F7" s="473" t="n"/>
      <c r="G7" s="474" t="n"/>
      <c r="H7" s="474" t="n"/>
      <c r="I7" s="67" t="n"/>
      <c r="J7" s="475">
        <f>F7-E7</f>
        <v/>
      </c>
      <c r="K7" s="476" t="n"/>
      <c r="L7" s="450" t="n"/>
      <c r="M7" s="477" t="n"/>
      <c r="O7" s="71">
        <f>I7-L7-N7</f>
        <v/>
      </c>
      <c r="P7" s="479" t="n"/>
      <c r="R7" s="480" t="n"/>
      <c r="S7" s="481" t="n"/>
      <c r="T7" s="482" t="n"/>
      <c r="V7" s="483" t="n"/>
      <c r="W7" s="448" t="n"/>
      <c r="X7" s="448" t="n"/>
      <c r="Y7" s="448" t="n"/>
      <c r="Z7" s="448" t="n"/>
      <c r="AA7" s="448" t="n"/>
      <c r="AB7" s="448" t="n"/>
      <c r="AC7" s="448" t="n"/>
      <c r="AD7" s="448" t="n"/>
      <c r="AE7" s="448" t="n"/>
      <c r="AF7" s="448" t="n"/>
      <c r="AG7" s="448" t="n"/>
      <c r="AH7" s="448" t="n"/>
      <c r="AI7" s="448" t="n"/>
      <c r="AJ7" s="448" t="n"/>
      <c r="AK7" s="448" t="n"/>
      <c r="AL7" s="448" t="n"/>
      <c r="AM7" s="448" t="n"/>
      <c r="AN7" s="448" t="n"/>
      <c r="AO7" s="448" t="n"/>
      <c r="AP7" s="448" t="n"/>
      <c r="AQ7" s="448" t="n"/>
      <c r="AR7" s="448" t="n"/>
      <c r="AS7" s="448" t="n"/>
      <c r="AT7" s="448" t="n"/>
      <c r="AU7" s="448" t="n"/>
      <c r="AV7" s="448" t="n"/>
      <c r="AW7" s="448" t="n"/>
      <c r="AX7" s="448" t="n"/>
      <c r="AY7" s="448" t="n"/>
      <c r="AZ7" s="448" t="n"/>
    </row>
    <row r="8" ht="15" customHeight="1" s="418">
      <c r="A8" s="484" t="n"/>
      <c r="B8" s="471" t="n"/>
      <c r="C8" s="472" t="n"/>
      <c r="D8" s="473" t="n"/>
      <c r="E8" s="473" t="n"/>
      <c r="F8" s="473" t="n"/>
      <c r="G8" s="474" t="n"/>
      <c r="H8" s="474" t="n"/>
      <c r="I8" s="67" t="n"/>
      <c r="J8" s="475">
        <f>F8-E8</f>
        <v/>
      </c>
      <c r="K8" s="476" t="n"/>
      <c r="L8" s="450" t="n"/>
      <c r="M8" s="477" t="n"/>
      <c r="O8" s="71">
        <f>I8-L8-N8</f>
        <v/>
      </c>
      <c r="P8" s="479" t="n"/>
      <c r="R8" s="480" t="n"/>
      <c r="S8" s="481" t="n"/>
      <c r="T8" s="482" t="n"/>
      <c r="V8" s="483" t="n"/>
      <c r="W8" s="448" t="n"/>
      <c r="X8" s="448" t="n"/>
      <c r="Y8" s="448" t="n"/>
      <c r="Z8" s="448" t="n"/>
      <c r="AA8" s="448" t="n"/>
      <c r="AB8" s="448" t="n"/>
      <c r="AC8" s="448" t="n"/>
      <c r="AD8" s="448" t="n"/>
      <c r="AE8" s="448" t="n"/>
      <c r="AF8" s="448" t="n"/>
      <c r="AG8" s="448" t="n"/>
      <c r="AH8" s="448" t="n"/>
      <c r="AI8" s="448" t="n"/>
      <c r="AJ8" s="448" t="n"/>
      <c r="AK8" s="448" t="n"/>
      <c r="AL8" s="448" t="n"/>
      <c r="AM8" s="448" t="n"/>
      <c r="AN8" s="448" t="n"/>
      <c r="AO8" s="448" t="n"/>
      <c r="AP8" s="448" t="n"/>
      <c r="AQ8" s="448" t="n"/>
      <c r="AR8" s="448" t="n"/>
      <c r="AS8" s="448" t="n"/>
      <c r="AT8" s="448" t="n"/>
      <c r="AU8" s="448" t="n"/>
      <c r="AV8" s="448" t="n"/>
      <c r="AW8" s="448" t="n"/>
      <c r="AX8" s="448" t="n"/>
      <c r="AY8" s="448" t="n"/>
      <c r="AZ8" s="448" t="n"/>
    </row>
    <row r="9" ht="15" customHeight="1" s="418">
      <c r="A9" s="485" t="inlineStr">
        <is>
          <t>TOTAL</t>
        </is>
      </c>
      <c r="B9" s="486" t="n"/>
      <c r="C9" s="486" t="n"/>
      <c r="D9" s="486" t="n"/>
      <c r="E9" s="486" t="n"/>
      <c r="F9" s="486" t="n"/>
      <c r="G9" s="486" t="n"/>
      <c r="H9" s="486" t="n"/>
      <c r="I9" s="486" t="n"/>
      <c r="J9" s="486" t="n"/>
      <c r="K9" s="486" t="n"/>
      <c r="L9" s="486" t="n"/>
      <c r="M9" s="486" t="n"/>
      <c r="N9" s="487" t="n"/>
      <c r="O9" s="80">
        <f>SUM(O7:O8)</f>
        <v/>
      </c>
      <c r="P9" s="485" t="n"/>
      <c r="Q9" s="485" t="n"/>
      <c r="R9" s="488" t="n"/>
      <c r="S9" s="485" t="n"/>
      <c r="T9" s="489" t="n"/>
      <c r="V9" s="483" t="n"/>
    </row>
    <row r="10" ht="15" customHeight="1" s="418">
      <c r="O10" s="460" t="n"/>
      <c r="P10" s="83" t="n"/>
      <c r="Q10" s="490" t="n"/>
      <c r="T10" s="489" t="n"/>
      <c r="V10" s="483" t="n"/>
    </row>
    <row r="11" ht="15" customHeight="1" s="418">
      <c r="A11" s="456" t="inlineStr">
        <is>
          <t>Operación 2 - Pago masivo proveedores - Dólares</t>
        </is>
      </c>
      <c r="C11" s="459" t="n"/>
      <c r="I11" s="85" t="n"/>
      <c r="O11" s="460" t="n"/>
      <c r="Q11" s="447" t="n"/>
      <c r="T11" s="489" t="n"/>
      <c r="V11" s="483" t="n"/>
    </row>
    <row r="12" ht="15" customHeight="1" s="418">
      <c r="A12" s="491" t="inlineStr">
        <is>
          <t>PROVEEDOR</t>
        </is>
      </c>
      <c r="B12" s="464" t="inlineStr">
        <is>
          <t>TIPO</t>
        </is>
      </c>
      <c r="C12" s="467" t="inlineStr">
        <is>
          <t>N° DOCUMENTO</t>
        </is>
      </c>
      <c r="D12" s="464" t="inlineStr">
        <is>
          <t>FEC. REGISTRO</t>
        </is>
      </c>
      <c r="E12" s="464" t="inlineStr">
        <is>
          <t>FEC.DOC</t>
        </is>
      </c>
      <c r="F12" s="464" t="inlineStr">
        <is>
          <t>FEC.VCTO</t>
        </is>
      </c>
      <c r="G12" s="54" t="inlineStr">
        <is>
          <t>IMPORTE</t>
        </is>
      </c>
      <c r="H12" s="54" t="inlineStr">
        <is>
          <t>PAGADO</t>
        </is>
      </c>
      <c r="I12" s="54" t="inlineStr">
        <is>
          <t>SALDO</t>
        </is>
      </c>
      <c r="J12" s="465" t="inlineStr">
        <is>
          <t>PLAZO</t>
        </is>
      </c>
      <c r="K12" s="56" t="inlineStr">
        <is>
          <t>% DET</t>
        </is>
      </c>
      <c r="L12" s="466" t="inlineStr">
        <is>
          <t>DET</t>
        </is>
      </c>
      <c r="M12" s="54" t="inlineStr">
        <is>
          <t>% RET</t>
        </is>
      </c>
      <c r="N12" s="54" t="inlineStr">
        <is>
          <t>RET</t>
        </is>
      </c>
      <c r="O12" s="87" t="inlineStr">
        <is>
          <t>Neto</t>
        </is>
      </c>
      <c r="P12" s="468" t="inlineStr">
        <is>
          <t>DETALLE</t>
        </is>
      </c>
      <c r="Q12" s="469" t="inlineStr">
        <is>
          <t>N° O/C-O/S</t>
        </is>
      </c>
      <c r="R12" s="469" t="inlineStr">
        <is>
          <t>N° Registro</t>
        </is>
      </c>
      <c r="S12" s="492" t="inlineStr">
        <is>
          <t>SUSTENTO</t>
        </is>
      </c>
      <c r="T12" s="489" t="n"/>
      <c r="V12" s="483" t="n"/>
    </row>
    <row r="13" ht="15" customHeight="1" s="418">
      <c r="A13" s="470" t="n"/>
      <c r="B13" s="471" t="n"/>
      <c r="C13" s="472" t="n"/>
      <c r="D13" s="473" t="n"/>
      <c r="E13" s="473" t="n"/>
      <c r="F13" s="473" t="n"/>
      <c r="G13" s="474" t="n"/>
      <c r="H13" s="474" t="n"/>
      <c r="I13" s="67" t="n"/>
      <c r="J13" s="475">
        <f>F13-E13</f>
        <v/>
      </c>
      <c r="K13" s="476" t="n"/>
      <c r="L13" s="450" t="n"/>
      <c r="M13" s="477" t="n"/>
      <c r="O13" s="71">
        <f>I13-L13-N13</f>
        <v/>
      </c>
      <c r="P13" s="479" t="n"/>
      <c r="R13" s="480" t="n"/>
      <c r="S13" s="481" t="n"/>
      <c r="T13" s="482" t="n"/>
      <c r="V13" s="483" t="n"/>
      <c r="W13" s="448" t="n"/>
      <c r="X13" s="448" t="n"/>
      <c r="Y13" s="448" t="n"/>
      <c r="Z13" s="448" t="n"/>
      <c r="AA13" s="448" t="n"/>
      <c r="AB13" s="448" t="n"/>
      <c r="AC13" s="448" t="n"/>
      <c r="AD13" s="448" t="n"/>
      <c r="AE13" s="448" t="n"/>
      <c r="AF13" s="448" t="n"/>
      <c r="AG13" s="448" t="n"/>
      <c r="AH13" s="448" t="n"/>
      <c r="AI13" s="448" t="n"/>
      <c r="AJ13" s="448" t="n"/>
      <c r="AK13" s="448" t="n"/>
      <c r="AL13" s="448" t="n"/>
      <c r="AM13" s="448" t="n"/>
      <c r="AN13" s="448" t="n"/>
      <c r="AO13" s="448" t="n"/>
      <c r="AP13" s="448" t="n"/>
      <c r="AQ13" s="448" t="n"/>
      <c r="AR13" s="448" t="n"/>
      <c r="AS13" s="448" t="n"/>
      <c r="AT13" s="448" t="n"/>
      <c r="AU13" s="448" t="n"/>
      <c r="AV13" s="448" t="n"/>
      <c r="AW13" s="448" t="n"/>
      <c r="AX13" s="448" t="n"/>
      <c r="AY13" s="448" t="n"/>
      <c r="AZ13" s="448" t="n"/>
    </row>
    <row r="14" ht="15" customHeight="1" s="418">
      <c r="A14" s="484" t="n"/>
      <c r="B14" s="471" t="n"/>
      <c r="C14" s="472" t="n"/>
      <c r="D14" s="473" t="n"/>
      <c r="E14" s="473" t="n"/>
      <c r="F14" s="473" t="n"/>
      <c r="G14" s="474" t="n"/>
      <c r="H14" s="474" t="n"/>
      <c r="I14" s="67" t="n"/>
      <c r="J14" s="475">
        <f>F14-E14</f>
        <v/>
      </c>
      <c r="K14" s="476" t="n"/>
      <c r="L14" s="450" t="n"/>
      <c r="M14" s="477" t="n"/>
      <c r="O14" s="71">
        <f>I14-L14-N14</f>
        <v/>
      </c>
      <c r="P14" s="479" t="n"/>
      <c r="R14" s="480" t="n"/>
      <c r="S14" s="481" t="n"/>
      <c r="T14" s="482" t="n"/>
      <c r="V14" s="483" t="n"/>
      <c r="W14" s="448" t="n"/>
      <c r="X14" s="448" t="n"/>
      <c r="Y14" s="448" t="n"/>
      <c r="Z14" s="448" t="n"/>
      <c r="AA14" s="448" t="n"/>
      <c r="AB14" s="448" t="n"/>
      <c r="AC14" s="448" t="n"/>
      <c r="AD14" s="448" t="n"/>
      <c r="AE14" s="448" t="n"/>
      <c r="AF14" s="448" t="n"/>
      <c r="AG14" s="448" t="n"/>
      <c r="AH14" s="448" t="n"/>
      <c r="AI14" s="448" t="n"/>
      <c r="AJ14" s="448" t="n"/>
      <c r="AK14" s="448" t="n"/>
      <c r="AL14" s="448" t="n"/>
      <c r="AM14" s="448" t="n"/>
      <c r="AN14" s="448" t="n"/>
      <c r="AO14" s="448" t="n"/>
      <c r="AP14" s="448" t="n"/>
      <c r="AQ14" s="448" t="n"/>
      <c r="AR14" s="448" t="n"/>
      <c r="AS14" s="448" t="n"/>
      <c r="AT14" s="448" t="n"/>
      <c r="AU14" s="448" t="n"/>
      <c r="AV14" s="448" t="n"/>
      <c r="AW14" s="448" t="n"/>
      <c r="AX14" s="448" t="n"/>
      <c r="AY14" s="448" t="n"/>
      <c r="AZ14" s="448" t="n"/>
    </row>
    <row r="15" ht="15" customHeight="1" s="418">
      <c r="A15" s="488" t="inlineStr">
        <is>
          <t>TOTAL</t>
        </is>
      </c>
      <c r="B15" s="486" t="n"/>
      <c r="C15" s="486" t="n"/>
      <c r="D15" s="486" t="n"/>
      <c r="E15" s="486" t="n"/>
      <c r="F15" s="486" t="n"/>
      <c r="G15" s="486" t="n"/>
      <c r="H15" s="486" t="n"/>
      <c r="I15" s="486" t="n"/>
      <c r="J15" s="486" t="n"/>
      <c r="K15" s="486" t="n"/>
      <c r="L15" s="486" t="n"/>
      <c r="M15" s="486" t="n"/>
      <c r="N15" s="486" t="n"/>
      <c r="O15" s="80">
        <f>SUM(O13:O14)</f>
        <v/>
      </c>
      <c r="P15" s="488" t="n"/>
      <c r="Q15" s="494" t="n"/>
      <c r="R15" s="495" t="n"/>
      <c r="S15" s="496" t="n"/>
      <c r="T15" s="482" t="n"/>
      <c r="V15" s="483" t="n"/>
    </row>
    <row r="16" ht="15" customHeight="1" s="418">
      <c r="E16" s="448" t="inlineStr">
        <is>
          <t> </t>
        </is>
      </c>
      <c r="G16" s="448" t="n"/>
      <c r="H16" s="448" t="n"/>
      <c r="J16" s="448" t="n"/>
      <c r="K16" s="448" t="n"/>
      <c r="L16" s="448" t="n"/>
      <c r="M16" s="448" t="n"/>
      <c r="N16" s="93" t="n"/>
      <c r="O16" s="93" t="n"/>
      <c r="T16" s="497" t="n"/>
      <c r="V16" s="483" t="n"/>
      <c r="X16" s="448" t="n"/>
      <c r="Y16" s="448" t="n"/>
      <c r="Z16" s="448" t="n"/>
      <c r="AA16" s="448" t="n"/>
      <c r="AB16" s="448" t="n"/>
      <c r="AC16" s="448" t="n"/>
      <c r="AD16" s="448" t="n"/>
      <c r="AE16" s="448" t="n"/>
      <c r="AF16" s="448" t="n"/>
      <c r="AG16" s="448" t="n"/>
      <c r="AH16" s="448" t="n"/>
      <c r="AI16" s="448" t="n"/>
      <c r="AJ16" s="448" t="n"/>
      <c r="AK16" s="448" t="n"/>
      <c r="AL16" s="448" t="n"/>
      <c r="AM16" s="448" t="n"/>
      <c r="AN16" s="448" t="n"/>
      <c r="AO16" s="448" t="n"/>
      <c r="AP16" s="448" t="n"/>
      <c r="AQ16" s="448" t="n"/>
      <c r="AR16" s="448" t="n"/>
      <c r="AS16" s="448" t="n"/>
      <c r="AT16" s="448" t="n"/>
      <c r="AU16" s="448" t="n"/>
      <c r="AV16" s="448" t="n"/>
      <c r="AW16" s="448" t="n"/>
      <c r="AX16" s="448" t="n"/>
      <c r="AY16" s="448" t="n"/>
      <c r="AZ16" s="448" t="n"/>
    </row>
    <row r="17" ht="15" customHeight="1" s="418">
      <c r="A17" s="456" t="inlineStr">
        <is>
          <t>AGENTES DE ADUANAS SOLES</t>
        </is>
      </c>
      <c r="B17" s="456" t="n"/>
      <c r="F17" s="456" t="n"/>
      <c r="G17" s="95" t="n"/>
      <c r="V17" s="483" t="n"/>
      <c r="W17" s="448" t="n"/>
      <c r="X17" s="448" t="n"/>
      <c r="Y17" s="448" t="n"/>
      <c r="Z17" s="448" t="n"/>
      <c r="AA17" s="448" t="n"/>
      <c r="AB17" s="448" t="n"/>
      <c r="AC17" s="448" t="n"/>
      <c r="AD17" s="448" t="n"/>
      <c r="AE17" s="448" t="n"/>
      <c r="AF17" s="448" t="n"/>
      <c r="AG17" s="448" t="n"/>
      <c r="AH17" s="448" t="n"/>
      <c r="AI17" s="448" t="n"/>
      <c r="AJ17" s="448" t="n"/>
      <c r="AK17" s="448" t="n"/>
      <c r="AL17" s="448" t="n"/>
      <c r="AM17" s="448" t="n"/>
      <c r="AN17" s="448" t="n"/>
      <c r="AO17" s="448" t="n"/>
      <c r="AP17" s="448" t="n"/>
      <c r="AQ17" s="448" t="n"/>
      <c r="AR17" s="448" t="n"/>
      <c r="AS17" s="448" t="n"/>
      <c r="AT17" s="448" t="n"/>
      <c r="AU17" s="448" t="n"/>
      <c r="AV17" s="448" t="n"/>
      <c r="AW17" s="448" t="n"/>
      <c r="AX17" s="448" t="n"/>
      <c r="AY17" s="448" t="n"/>
      <c r="AZ17" s="448" t="n"/>
    </row>
    <row r="18" ht="15" customHeight="1" s="418">
      <c r="A18" s="491" t="inlineStr">
        <is>
          <t>PROVEEDOR</t>
        </is>
      </c>
      <c r="B18" s="462" t="inlineStr">
        <is>
          <t>TIPO</t>
        </is>
      </c>
      <c r="C18" s="498" t="inlineStr">
        <is>
          <t>N° DOCUMENTO</t>
        </is>
      </c>
      <c r="D18" s="462" t="inlineStr">
        <is>
          <t>FEC. REGISTRO</t>
        </is>
      </c>
      <c r="E18" s="462" t="inlineStr">
        <is>
          <t>FEC.DOC</t>
        </is>
      </c>
      <c r="F18" s="462" t="inlineStr">
        <is>
          <t>FEC.VCTO</t>
        </is>
      </c>
      <c r="G18" s="58" t="inlineStr">
        <is>
          <t>IMPORTE</t>
        </is>
      </c>
      <c r="H18" s="58" t="inlineStr">
        <is>
          <t>PAGADO</t>
        </is>
      </c>
      <c r="I18" s="97" t="inlineStr">
        <is>
          <t>SALDO</t>
        </is>
      </c>
      <c r="J18" s="465" t="n"/>
      <c r="K18" s="98" t="inlineStr">
        <is>
          <t>% DET</t>
        </is>
      </c>
      <c r="L18" s="465" t="inlineStr">
        <is>
          <t>DET</t>
        </is>
      </c>
      <c r="M18" s="58" t="inlineStr">
        <is>
          <t>% RET</t>
        </is>
      </c>
      <c r="N18" s="58" t="inlineStr">
        <is>
          <t>RET</t>
        </is>
      </c>
      <c r="O18" s="58" t="n"/>
      <c r="P18" s="492" t="inlineStr">
        <is>
          <t>AGENTE ADUANERO</t>
        </is>
      </c>
      <c r="Q18" s="469" t="inlineStr">
        <is>
          <t>N° O/C-O/S</t>
        </is>
      </c>
      <c r="R18" s="469" t="n"/>
      <c r="S18" s="499" t="inlineStr">
        <is>
          <t>LINK FACTURA</t>
        </is>
      </c>
      <c r="V18" s="483" t="n"/>
      <c r="W18" s="448" t="n"/>
      <c r="X18" s="448" t="n"/>
      <c r="Y18" s="448" t="n"/>
      <c r="Z18" s="448" t="n"/>
      <c r="AA18" s="448" t="n"/>
      <c r="AB18" s="448" t="n"/>
      <c r="AC18" s="448" t="n"/>
      <c r="AD18" s="448" t="n"/>
      <c r="AE18" s="448" t="n"/>
      <c r="AF18" s="448" t="n"/>
      <c r="AG18" s="448" t="n"/>
      <c r="AH18" s="448" t="n"/>
      <c r="AI18" s="448" t="n"/>
      <c r="AJ18" s="448" t="n"/>
      <c r="AK18" s="448" t="n"/>
      <c r="AL18" s="448" t="n"/>
      <c r="AM18" s="448" t="n"/>
      <c r="AN18" s="448" t="n"/>
      <c r="AO18" s="448" t="n"/>
      <c r="AP18" s="448" t="n"/>
      <c r="AQ18" s="448" t="n"/>
      <c r="AR18" s="448" t="n"/>
      <c r="AS18" s="448" t="n"/>
      <c r="AT18" s="448" t="n"/>
      <c r="AU18" s="448" t="n"/>
      <c r="AV18" s="448" t="n"/>
      <c r="AW18" s="448" t="n"/>
      <c r="AX18" s="448" t="n"/>
      <c r="AY18" s="448" t="n"/>
      <c r="AZ18" s="448" t="n"/>
    </row>
    <row r="19" ht="15" customHeight="1" s="418">
      <c r="A19" s="470" t="n"/>
      <c r="B19" s="471" t="n"/>
      <c r="C19" s="472" t="n"/>
      <c r="D19" s="473" t="n"/>
      <c r="E19" s="473" t="n"/>
      <c r="F19" s="473" t="n"/>
      <c r="G19" s="474" t="n"/>
      <c r="H19" s="474" t="n"/>
      <c r="I19" s="67" t="n"/>
      <c r="J19" s="475">
        <f>F19-E19</f>
        <v/>
      </c>
      <c r="K19" s="476" t="n"/>
      <c r="L19" s="450" t="n"/>
      <c r="M19" s="477" t="n"/>
      <c r="O19" s="71">
        <f>I19-L19-N19</f>
        <v/>
      </c>
      <c r="P19" s="479" t="n"/>
      <c r="R19" s="480" t="n"/>
      <c r="S19" s="481" t="n"/>
      <c r="T19" s="482" t="n"/>
      <c r="V19" s="483" t="n"/>
      <c r="W19" s="448" t="n"/>
      <c r="X19" s="448" t="n"/>
      <c r="Y19" s="448" t="n"/>
      <c r="Z19" s="448" t="n"/>
      <c r="AA19" s="448" t="n"/>
      <c r="AB19" s="448" t="n"/>
      <c r="AC19" s="448" t="n"/>
      <c r="AD19" s="448" t="n"/>
      <c r="AE19" s="448" t="n"/>
      <c r="AF19" s="448" t="n"/>
      <c r="AG19" s="448" t="n"/>
      <c r="AH19" s="448" t="n"/>
      <c r="AI19" s="448" t="n"/>
      <c r="AJ19" s="448" t="n"/>
      <c r="AK19" s="448" t="n"/>
      <c r="AL19" s="448" t="n"/>
      <c r="AM19" s="448" t="n"/>
      <c r="AN19" s="448" t="n"/>
      <c r="AO19" s="448" t="n"/>
      <c r="AP19" s="448" t="n"/>
      <c r="AQ19" s="448" t="n"/>
      <c r="AR19" s="448" t="n"/>
      <c r="AS19" s="448" t="n"/>
      <c r="AT19" s="448" t="n"/>
      <c r="AU19" s="448" t="n"/>
      <c r="AV19" s="448" t="n"/>
      <c r="AW19" s="448" t="n"/>
      <c r="AX19" s="448" t="n"/>
      <c r="AY19" s="448" t="n"/>
      <c r="AZ19" s="448" t="n"/>
    </row>
    <row r="20" ht="15" customHeight="1" s="418">
      <c r="A20" s="484" t="n"/>
      <c r="B20" s="471" t="n"/>
      <c r="C20" s="472" t="n"/>
      <c r="D20" s="473" t="n"/>
      <c r="E20" s="473" t="n"/>
      <c r="F20" s="473" t="n"/>
      <c r="G20" s="474" t="n"/>
      <c r="H20" s="474" t="n"/>
      <c r="I20" s="67" t="n"/>
      <c r="J20" s="475">
        <f>F20-E20</f>
        <v/>
      </c>
      <c r="K20" s="476" t="n"/>
      <c r="L20" s="450" t="n"/>
      <c r="M20" s="477" t="n"/>
      <c r="O20" s="71">
        <f>I20-L20-N20</f>
        <v/>
      </c>
      <c r="P20" s="479" t="n"/>
      <c r="R20" s="480" t="n"/>
      <c r="S20" s="481" t="n"/>
      <c r="T20" s="482" t="n"/>
      <c r="V20" s="483" t="n"/>
      <c r="W20" s="448" t="n"/>
      <c r="X20" s="448" t="n"/>
      <c r="Y20" s="448" t="n"/>
      <c r="Z20" s="448" t="n"/>
      <c r="AA20" s="448" t="n"/>
      <c r="AB20" s="448" t="n"/>
      <c r="AC20" s="448" t="n"/>
      <c r="AD20" s="448" t="n"/>
      <c r="AE20" s="448" t="n"/>
      <c r="AF20" s="448" t="n"/>
      <c r="AG20" s="448" t="n"/>
      <c r="AH20" s="448" t="n"/>
      <c r="AI20" s="448" t="n"/>
      <c r="AJ20" s="448" t="n"/>
      <c r="AK20" s="448" t="n"/>
      <c r="AL20" s="448" t="n"/>
      <c r="AM20" s="448" t="n"/>
      <c r="AN20" s="448" t="n"/>
      <c r="AO20" s="448" t="n"/>
      <c r="AP20" s="448" t="n"/>
      <c r="AQ20" s="448" t="n"/>
      <c r="AR20" s="448" t="n"/>
      <c r="AS20" s="448" t="n"/>
      <c r="AT20" s="448" t="n"/>
      <c r="AU20" s="448" t="n"/>
      <c r="AV20" s="448" t="n"/>
      <c r="AW20" s="448" t="n"/>
      <c r="AX20" s="448" t="n"/>
      <c r="AY20" s="448" t="n"/>
      <c r="AZ20" s="448" t="n"/>
    </row>
    <row r="21" ht="13.5" customHeight="1" s="418">
      <c r="A21" s="485" t="inlineStr">
        <is>
          <t>TOTAL</t>
        </is>
      </c>
      <c r="B21" s="486" t="n"/>
      <c r="C21" s="486" t="n"/>
      <c r="D21" s="486" t="n"/>
      <c r="E21" s="486" t="n"/>
      <c r="F21" s="486" t="n"/>
      <c r="G21" s="486" t="n"/>
      <c r="H21" s="486" t="n"/>
      <c r="I21" s="486" t="n"/>
      <c r="J21" s="486" t="n"/>
      <c r="K21" s="486" t="n"/>
      <c r="L21" s="486" t="n"/>
      <c r="M21" s="486" t="n"/>
      <c r="N21" s="487" t="n"/>
      <c r="O21" s="80" t="n"/>
      <c r="P21" s="485" t="n"/>
      <c r="Q21" s="500" t="n"/>
      <c r="R21" s="500" t="n"/>
      <c r="S21" s="501" t="n"/>
      <c r="V21" s="483" t="n"/>
      <c r="W21" s="448" t="n"/>
      <c r="X21" s="448" t="n"/>
      <c r="Y21" s="448" t="n"/>
      <c r="Z21" s="448" t="n"/>
      <c r="AA21" s="448" t="n"/>
      <c r="AB21" s="448" t="n"/>
      <c r="AC21" s="448" t="n"/>
      <c r="AD21" s="448" t="n"/>
      <c r="AE21" s="448" t="n"/>
      <c r="AF21" s="448" t="n"/>
      <c r="AG21" s="448" t="n"/>
      <c r="AH21" s="448" t="n"/>
      <c r="AI21" s="448" t="n"/>
      <c r="AJ21" s="448" t="n"/>
      <c r="AK21" s="448" t="n"/>
      <c r="AL21" s="448" t="n"/>
      <c r="AM21" s="448" t="n"/>
      <c r="AN21" s="448" t="n"/>
      <c r="AO21" s="448" t="n"/>
      <c r="AP21" s="448" t="n"/>
      <c r="AQ21" s="448" t="n"/>
      <c r="AR21" s="448" t="n"/>
      <c r="AS21" s="448" t="n"/>
      <c r="AT21" s="448" t="n"/>
      <c r="AU21" s="448" t="n"/>
      <c r="AV21" s="448" t="n"/>
      <c r="AW21" s="448" t="n"/>
      <c r="AX21" s="448" t="n"/>
      <c r="AY21" s="448" t="n"/>
      <c r="AZ21" s="448" t="n"/>
    </row>
    <row r="22" ht="15" customHeight="1" s="418">
      <c r="F22" s="93" t="n"/>
      <c r="P22" s="478" t="n"/>
      <c r="S22" s="502" t="n"/>
      <c r="V22" s="483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8" t="n"/>
      <c r="AG22" s="448" t="n"/>
      <c r="AH22" s="448" t="n"/>
      <c r="AI22" s="448" t="n"/>
      <c r="AJ22" s="448" t="n"/>
      <c r="AK22" s="448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8" t="n"/>
      <c r="AY22" s="448" t="n"/>
      <c r="AZ22" s="448" t="n"/>
    </row>
    <row r="23" ht="15" customHeight="1" s="418">
      <c r="A23" s="456" t="inlineStr">
        <is>
          <t xml:space="preserve">AGENTES DE ADUANAS DOLARES </t>
        </is>
      </c>
      <c r="B23" s="456" t="n"/>
      <c r="F23" s="503" t="n"/>
      <c r="G23" s="95" t="n"/>
      <c r="P23" s="478" t="n"/>
      <c r="Q23" s="93" t="n"/>
      <c r="R23" s="93" t="n"/>
      <c r="S23" s="502" t="n"/>
      <c r="V23" s="483" t="n"/>
      <c r="W23" s="448" t="n"/>
      <c r="X23" s="448" t="n"/>
      <c r="Y23" s="448" t="n"/>
      <c r="Z23" s="448" t="n"/>
      <c r="AA23" s="448" t="n"/>
      <c r="AB23" s="448" t="n"/>
      <c r="AC23" s="448" t="n"/>
      <c r="AD23" s="448" t="n"/>
      <c r="AE23" s="448" t="n"/>
      <c r="AF23" s="448" t="n"/>
      <c r="AG23" s="448" t="n"/>
      <c r="AH23" s="448" t="n"/>
      <c r="AI23" s="448" t="n"/>
      <c r="AJ23" s="448" t="n"/>
      <c r="AK23" s="448" t="n"/>
      <c r="AL23" s="448" t="n"/>
      <c r="AM23" s="448" t="n"/>
      <c r="AN23" s="448" t="n"/>
      <c r="AO23" s="448" t="n"/>
      <c r="AP23" s="448" t="n"/>
      <c r="AQ23" s="448" t="n"/>
      <c r="AR23" s="448" t="n"/>
      <c r="AS23" s="448" t="n"/>
      <c r="AT23" s="448" t="n"/>
      <c r="AU23" s="448" t="n"/>
      <c r="AV23" s="448" t="n"/>
      <c r="AW23" s="448" t="n"/>
      <c r="AX23" s="448" t="n"/>
      <c r="AY23" s="448" t="n"/>
      <c r="AZ23" s="448" t="n"/>
    </row>
    <row r="24" ht="15" customHeight="1" s="418">
      <c r="A24" s="491" t="inlineStr">
        <is>
          <t>PROVEEDOR</t>
        </is>
      </c>
      <c r="B24" s="462" t="inlineStr">
        <is>
          <t>TIPO</t>
        </is>
      </c>
      <c r="C24" s="498" t="inlineStr">
        <is>
          <t>N° DOCUMENTO</t>
        </is>
      </c>
      <c r="D24" s="462" t="inlineStr">
        <is>
          <t>FEC. REGISTRO</t>
        </is>
      </c>
      <c r="E24" s="462" t="inlineStr">
        <is>
          <t>FEC.DOC</t>
        </is>
      </c>
      <c r="F24" s="462" t="inlineStr">
        <is>
          <t>FEC.VCTO</t>
        </is>
      </c>
      <c r="G24" s="58" t="inlineStr">
        <is>
          <t>IMPORTE</t>
        </is>
      </c>
      <c r="H24" s="58" t="inlineStr">
        <is>
          <t>PAGADO</t>
        </is>
      </c>
      <c r="I24" s="97" t="inlineStr">
        <is>
          <t>SALDO</t>
        </is>
      </c>
      <c r="J24" s="465" t="n"/>
      <c r="K24" s="104" t="inlineStr">
        <is>
          <t>% DET</t>
        </is>
      </c>
      <c r="L24" s="465" t="inlineStr">
        <is>
          <t>DET</t>
        </is>
      </c>
      <c r="M24" s="58" t="inlineStr">
        <is>
          <t>% RET</t>
        </is>
      </c>
      <c r="N24" s="97" t="inlineStr">
        <is>
          <t>RET</t>
        </is>
      </c>
      <c r="O24" s="58" t="n"/>
      <c r="P24" s="492" t="inlineStr">
        <is>
          <t>AGENTE ADUANERO</t>
        </is>
      </c>
      <c r="Q24" s="469" t="inlineStr">
        <is>
          <t>N° O/C-O/S</t>
        </is>
      </c>
      <c r="R24" s="469" t="n"/>
      <c r="S24" s="499" t="inlineStr">
        <is>
          <t>LINK FACTURA</t>
        </is>
      </c>
      <c r="V24" s="483" t="n"/>
      <c r="W24" s="448" t="n"/>
      <c r="X24" s="448" t="n"/>
      <c r="Y24" s="448" t="n"/>
      <c r="Z24" s="448" t="n"/>
      <c r="AA24" s="448" t="n"/>
      <c r="AB24" s="448" t="n"/>
      <c r="AC24" s="448" t="n"/>
      <c r="AD24" s="448" t="n"/>
      <c r="AE24" s="448" t="n"/>
      <c r="AF24" s="448" t="n"/>
      <c r="AG24" s="448" t="n"/>
      <c r="AH24" s="448" t="n"/>
      <c r="AI24" s="448" t="n"/>
      <c r="AJ24" s="448" t="n"/>
      <c r="AK24" s="448" t="n"/>
      <c r="AL24" s="448" t="n"/>
      <c r="AM24" s="448" t="n"/>
      <c r="AN24" s="448" t="n"/>
      <c r="AO24" s="448" t="n"/>
      <c r="AP24" s="448" t="n"/>
      <c r="AQ24" s="448" t="n"/>
      <c r="AR24" s="448" t="n"/>
      <c r="AS24" s="448" t="n"/>
      <c r="AT24" s="448" t="n"/>
      <c r="AU24" s="448" t="n"/>
      <c r="AV24" s="448" t="n"/>
      <c r="AW24" s="448" t="n"/>
      <c r="AX24" s="448" t="n"/>
      <c r="AY24" s="448" t="n"/>
      <c r="AZ24" s="448" t="n"/>
    </row>
    <row r="25" ht="15" customHeight="1" s="418">
      <c r="A25" s="470" t="n"/>
      <c r="B25" s="471" t="n"/>
      <c r="C25" s="472" t="n"/>
      <c r="D25" s="473" t="n"/>
      <c r="E25" s="473" t="n"/>
      <c r="F25" s="473" t="n"/>
      <c r="G25" s="474" t="n"/>
      <c r="H25" s="474" t="n"/>
      <c r="I25" s="67" t="n"/>
      <c r="J25" s="475">
        <f>F25-E25</f>
        <v/>
      </c>
      <c r="K25" s="476" t="n"/>
      <c r="L25" s="450" t="n"/>
      <c r="M25" s="477" t="n"/>
      <c r="O25" s="71">
        <f>I25-L25-N25</f>
        <v/>
      </c>
      <c r="P25" s="479" t="n"/>
      <c r="R25" s="480" t="n"/>
      <c r="S25" s="481" t="n"/>
      <c r="T25" s="482" t="n"/>
      <c r="V25" s="483" t="n"/>
      <c r="W25" s="448" t="n"/>
      <c r="X25" s="448" t="n"/>
      <c r="Y25" s="448" t="n"/>
      <c r="Z25" s="448" t="n"/>
      <c r="AA25" s="448" t="n"/>
      <c r="AB25" s="448" t="n"/>
      <c r="AC25" s="448" t="n"/>
      <c r="AD25" s="448" t="n"/>
      <c r="AE25" s="448" t="n"/>
      <c r="AF25" s="448" t="n"/>
      <c r="AG25" s="448" t="n"/>
      <c r="AH25" s="448" t="n"/>
      <c r="AI25" s="448" t="n"/>
      <c r="AJ25" s="448" t="n"/>
      <c r="AK25" s="448" t="n"/>
      <c r="AL25" s="448" t="n"/>
      <c r="AM25" s="448" t="n"/>
      <c r="AN25" s="448" t="n"/>
      <c r="AO25" s="448" t="n"/>
      <c r="AP25" s="448" t="n"/>
      <c r="AQ25" s="448" t="n"/>
      <c r="AR25" s="448" t="n"/>
      <c r="AS25" s="448" t="n"/>
      <c r="AT25" s="448" t="n"/>
      <c r="AU25" s="448" t="n"/>
      <c r="AV25" s="448" t="n"/>
      <c r="AW25" s="448" t="n"/>
      <c r="AX25" s="448" t="n"/>
      <c r="AY25" s="448" t="n"/>
      <c r="AZ25" s="448" t="n"/>
    </row>
    <row r="26" ht="15" customHeight="1" s="418">
      <c r="A26" s="484" t="n"/>
      <c r="B26" s="471" t="n"/>
      <c r="C26" s="472" t="n"/>
      <c r="D26" s="473" t="n"/>
      <c r="E26" s="473" t="n"/>
      <c r="F26" s="473" t="n"/>
      <c r="G26" s="474" t="n"/>
      <c r="H26" s="474" t="n"/>
      <c r="I26" s="67" t="n"/>
      <c r="J26" s="475">
        <f>F26-E26</f>
        <v/>
      </c>
      <c r="K26" s="476" t="n"/>
      <c r="L26" s="450" t="n"/>
      <c r="M26" s="477" t="n"/>
      <c r="O26" s="71">
        <f>I26-L26-N26</f>
        <v/>
      </c>
      <c r="P26" s="479" t="n"/>
      <c r="R26" s="480" t="n"/>
      <c r="S26" s="481" t="n"/>
      <c r="T26" s="482" t="n"/>
      <c r="V26" s="483" t="n"/>
      <c r="W26" s="448" t="n"/>
      <c r="X26" s="448" t="n"/>
      <c r="Y26" s="448" t="n"/>
      <c r="Z26" s="448" t="n"/>
      <c r="AA26" s="448" t="n"/>
      <c r="AB26" s="448" t="n"/>
      <c r="AC26" s="448" t="n"/>
      <c r="AD26" s="448" t="n"/>
      <c r="AE26" s="448" t="n"/>
      <c r="AF26" s="448" t="n"/>
      <c r="AG26" s="448" t="n"/>
      <c r="AH26" s="448" t="n"/>
      <c r="AI26" s="448" t="n"/>
      <c r="AJ26" s="448" t="n"/>
      <c r="AK26" s="448" t="n"/>
      <c r="AL26" s="448" t="n"/>
      <c r="AM26" s="448" t="n"/>
      <c r="AN26" s="448" t="n"/>
      <c r="AO26" s="448" t="n"/>
      <c r="AP26" s="448" t="n"/>
      <c r="AQ26" s="448" t="n"/>
      <c r="AR26" s="448" t="n"/>
      <c r="AS26" s="448" t="n"/>
      <c r="AT26" s="448" t="n"/>
      <c r="AU26" s="448" t="n"/>
      <c r="AV26" s="448" t="n"/>
      <c r="AW26" s="448" t="n"/>
      <c r="AX26" s="448" t="n"/>
      <c r="AY26" s="448" t="n"/>
      <c r="AZ26" s="448" t="n"/>
    </row>
    <row r="27" ht="13.5" customHeight="1" s="418">
      <c r="A27" s="485" t="inlineStr">
        <is>
          <t>TOTAL</t>
        </is>
      </c>
      <c r="B27" s="486" t="n"/>
      <c r="C27" s="486" t="n"/>
      <c r="D27" s="486" t="n"/>
      <c r="E27" s="486" t="n"/>
      <c r="F27" s="486" t="n"/>
      <c r="G27" s="486" t="n"/>
      <c r="H27" s="486" t="n"/>
      <c r="I27" s="486" t="n"/>
      <c r="J27" s="486" t="n"/>
      <c r="K27" s="486" t="n"/>
      <c r="L27" s="486" t="n"/>
      <c r="M27" s="486" t="n"/>
      <c r="N27" s="487" t="n"/>
      <c r="O27" s="80" t="n"/>
      <c r="P27" s="485" t="n"/>
      <c r="Q27" s="494" t="n"/>
      <c r="R27" s="494" t="n"/>
      <c r="S27" s="501" t="n"/>
      <c r="V27" s="483" t="n"/>
      <c r="W27" s="448" t="n"/>
      <c r="X27" s="448" t="n"/>
      <c r="Y27" s="448" t="n"/>
      <c r="Z27" s="448" t="n"/>
      <c r="AA27" s="448" t="n"/>
      <c r="AB27" s="448" t="n"/>
      <c r="AC27" s="448" t="n"/>
      <c r="AD27" s="448" t="n"/>
      <c r="AE27" s="448" t="n"/>
      <c r="AF27" s="448" t="n"/>
      <c r="AG27" s="448" t="n"/>
      <c r="AH27" s="448" t="n"/>
      <c r="AI27" s="448" t="n"/>
      <c r="AJ27" s="448" t="n"/>
      <c r="AK27" s="448" t="n"/>
      <c r="AL27" s="448" t="n"/>
      <c r="AM27" s="448" t="n"/>
      <c r="AN27" s="448" t="n"/>
      <c r="AO27" s="448" t="n"/>
      <c r="AP27" s="448" t="n"/>
      <c r="AQ27" s="448" t="n"/>
      <c r="AR27" s="448" t="n"/>
      <c r="AS27" s="448" t="n"/>
      <c r="AT27" s="448" t="n"/>
      <c r="AU27" s="448" t="n"/>
      <c r="AV27" s="448" t="n"/>
      <c r="AW27" s="448" t="n"/>
      <c r="AX27" s="448" t="n"/>
      <c r="AY27" s="448" t="n"/>
      <c r="AZ27" s="448" t="n"/>
    </row>
    <row r="28" ht="15" customHeight="1" s="418">
      <c r="O28" s="37" t="n"/>
      <c r="Q28" s="93" t="n"/>
      <c r="R28" s="93" t="n"/>
      <c r="V28" s="483" t="n"/>
      <c r="W28" s="448" t="n"/>
      <c r="X28" s="448" t="n"/>
      <c r="Y28" s="448" t="n"/>
      <c r="Z28" s="448" t="n"/>
      <c r="AA28" s="448" t="n"/>
      <c r="AB28" s="448" t="n"/>
      <c r="AC28" s="448" t="n"/>
      <c r="AD28" s="448" t="n"/>
      <c r="AE28" s="448" t="n"/>
      <c r="AF28" s="448" t="n"/>
      <c r="AG28" s="448" t="n"/>
      <c r="AH28" s="448" t="n"/>
      <c r="AI28" s="448" t="n"/>
      <c r="AJ28" s="448" t="n"/>
      <c r="AK28" s="448" t="n"/>
      <c r="AL28" s="448" t="n"/>
      <c r="AM28" s="448" t="n"/>
      <c r="AN28" s="448" t="n"/>
      <c r="AO28" s="448" t="n"/>
      <c r="AP28" s="448" t="n"/>
      <c r="AQ28" s="448" t="n"/>
      <c r="AR28" s="448" t="n"/>
      <c r="AS28" s="448" t="n"/>
      <c r="AT28" s="448" t="n"/>
      <c r="AU28" s="448" t="n"/>
      <c r="AV28" s="448" t="n"/>
      <c r="AW28" s="448" t="n"/>
      <c r="AX28" s="448" t="n"/>
      <c r="AY28" s="448" t="n"/>
      <c r="AZ28" s="448" t="n"/>
    </row>
    <row r="29" ht="15" customHeight="1" s="418">
      <c r="A29" s="456" t="inlineStr">
        <is>
          <t>Operación 3 - Pagos varios - Soles</t>
        </is>
      </c>
      <c r="P29" s="83" t="n"/>
      <c r="V29" s="483" t="n"/>
      <c r="W29" s="448" t="n"/>
      <c r="X29" s="448" t="n"/>
      <c r="Y29" s="448" t="n"/>
      <c r="Z29" s="448" t="n"/>
      <c r="AA29" s="448" t="n"/>
      <c r="AB29" s="448" t="n"/>
      <c r="AC29" s="448" t="n"/>
      <c r="AD29" s="448" t="n"/>
      <c r="AE29" s="448" t="n"/>
      <c r="AF29" s="448" t="n"/>
      <c r="AG29" s="448" t="n"/>
      <c r="AH29" s="448" t="n"/>
      <c r="AI29" s="448" t="n"/>
      <c r="AJ29" s="448" t="n"/>
      <c r="AK29" s="448" t="n"/>
      <c r="AL29" s="448" t="n"/>
      <c r="AM29" s="448" t="n"/>
      <c r="AN29" s="448" t="n"/>
      <c r="AO29" s="448" t="n"/>
      <c r="AP29" s="448" t="n"/>
      <c r="AQ29" s="448" t="n"/>
      <c r="AR29" s="448" t="n"/>
      <c r="AS29" s="448" t="n"/>
      <c r="AT29" s="448" t="n"/>
      <c r="AU29" s="448" t="n"/>
      <c r="AV29" s="448" t="n"/>
      <c r="AW29" s="448" t="n"/>
      <c r="AX29" s="448" t="n"/>
      <c r="AY29" s="448" t="n"/>
      <c r="AZ29" s="448" t="n"/>
    </row>
    <row r="30" ht="15" customHeight="1" s="418">
      <c r="A30" s="461" t="inlineStr">
        <is>
          <t>PROVEEDOR</t>
        </is>
      </c>
      <c r="B30" s="462" t="inlineStr">
        <is>
          <t>TIPO</t>
        </is>
      </c>
      <c r="C30" s="498" t="inlineStr">
        <is>
          <t>N° DOCUMENTO</t>
        </is>
      </c>
      <c r="D30" s="462" t="inlineStr">
        <is>
          <t>FEC. REGISTRO</t>
        </is>
      </c>
      <c r="E30" s="462" t="inlineStr">
        <is>
          <t>FEC.DOC</t>
        </is>
      </c>
      <c r="F30" s="462" t="inlineStr">
        <is>
          <t>FEC.VCTO</t>
        </is>
      </c>
      <c r="G30" s="58" t="inlineStr">
        <is>
          <t>IMPORTE</t>
        </is>
      </c>
      <c r="H30" s="58" t="inlineStr">
        <is>
          <t>PAGADO</t>
        </is>
      </c>
      <c r="I30" s="58" t="inlineStr">
        <is>
          <t>SALDO</t>
        </is>
      </c>
      <c r="J30" s="466" t="inlineStr">
        <is>
          <t>PLAZO</t>
        </is>
      </c>
      <c r="K30" s="98" t="inlineStr">
        <is>
          <t>% DET</t>
        </is>
      </c>
      <c r="L30" s="465" t="inlineStr">
        <is>
          <t>DET</t>
        </is>
      </c>
      <c r="M30" s="58" t="inlineStr">
        <is>
          <t>% RET</t>
        </is>
      </c>
      <c r="N30" s="58" t="inlineStr">
        <is>
          <t>RET</t>
        </is>
      </c>
      <c r="O30" s="87" t="inlineStr">
        <is>
          <t>Neto</t>
        </is>
      </c>
      <c r="P30" s="499" t="inlineStr">
        <is>
          <t>DETALLE</t>
        </is>
      </c>
      <c r="Q30" s="469" t="inlineStr">
        <is>
          <t>N° O/C-O/S</t>
        </is>
      </c>
      <c r="R30" s="468" t="inlineStr">
        <is>
          <t>N° Registro</t>
        </is>
      </c>
      <c r="S30" s="469" t="inlineStr">
        <is>
          <t>LINK FACTURA</t>
        </is>
      </c>
      <c r="V30" s="483" t="n"/>
      <c r="W30" s="448" t="n"/>
      <c r="X30" s="448" t="n"/>
      <c r="Y30" s="448" t="n"/>
      <c r="Z30" s="448" t="n"/>
      <c r="AA30" s="448" t="n"/>
      <c r="AB30" s="448" t="n"/>
      <c r="AC30" s="448" t="n"/>
      <c r="AD30" s="448" t="n"/>
      <c r="AE30" s="448" t="n"/>
      <c r="AF30" s="448" t="n"/>
      <c r="AG30" s="448" t="n"/>
      <c r="AH30" s="448" t="n"/>
      <c r="AI30" s="448" t="n"/>
      <c r="AJ30" s="448" t="n"/>
      <c r="AK30" s="448" t="n"/>
      <c r="AL30" s="448" t="n"/>
      <c r="AM30" s="448" t="n"/>
      <c r="AN30" s="448" t="n"/>
      <c r="AO30" s="448" t="n"/>
      <c r="AP30" s="448" t="n"/>
      <c r="AQ30" s="448" t="n"/>
      <c r="AR30" s="448" t="n"/>
      <c r="AS30" s="448" t="n"/>
      <c r="AT30" s="448" t="n"/>
      <c r="AU30" s="448" t="n"/>
      <c r="AV30" s="448" t="n"/>
      <c r="AW30" s="448" t="n"/>
      <c r="AX30" s="448" t="n"/>
      <c r="AY30" s="448" t="n"/>
      <c r="AZ30" s="448" t="n"/>
    </row>
    <row r="31" ht="15" customHeight="1" s="418">
      <c r="A31" s="470" t="n"/>
      <c r="B31" s="471" t="n"/>
      <c r="C31" s="472" t="n"/>
      <c r="D31" s="473" t="n"/>
      <c r="E31" s="473" t="n"/>
      <c r="F31" s="473" t="n"/>
      <c r="G31" s="474" t="n"/>
      <c r="H31" s="474" t="n"/>
      <c r="I31" s="67" t="n"/>
      <c r="J31" s="475">
        <f>F31-E31</f>
        <v/>
      </c>
      <c r="K31" s="476" t="n"/>
      <c r="L31" s="450" t="n"/>
      <c r="M31" s="477" t="n"/>
      <c r="O31" s="71">
        <f>I31-L31-N31</f>
        <v/>
      </c>
      <c r="P31" s="479" t="n"/>
      <c r="R31" s="480" t="n"/>
      <c r="S31" s="481" t="n"/>
      <c r="T31" s="482" t="n"/>
      <c r="V31" s="483" t="n"/>
      <c r="W31" s="448" t="n"/>
      <c r="X31" s="448" t="n"/>
      <c r="Y31" s="448" t="n"/>
      <c r="Z31" s="448" t="n"/>
      <c r="AA31" s="448" t="n"/>
      <c r="AB31" s="448" t="n"/>
      <c r="AC31" s="448" t="n"/>
      <c r="AD31" s="448" t="n"/>
      <c r="AE31" s="448" t="n"/>
      <c r="AF31" s="448" t="n"/>
      <c r="AG31" s="448" t="n"/>
      <c r="AH31" s="448" t="n"/>
      <c r="AI31" s="448" t="n"/>
      <c r="AJ31" s="448" t="n"/>
      <c r="AK31" s="448" t="n"/>
      <c r="AL31" s="448" t="n"/>
      <c r="AM31" s="448" t="n"/>
      <c r="AN31" s="448" t="n"/>
      <c r="AO31" s="448" t="n"/>
      <c r="AP31" s="448" t="n"/>
      <c r="AQ31" s="448" t="n"/>
      <c r="AR31" s="448" t="n"/>
      <c r="AS31" s="448" t="n"/>
      <c r="AT31" s="448" t="n"/>
      <c r="AU31" s="448" t="n"/>
      <c r="AV31" s="448" t="n"/>
      <c r="AW31" s="448" t="n"/>
      <c r="AX31" s="448" t="n"/>
      <c r="AY31" s="448" t="n"/>
      <c r="AZ31" s="448" t="n"/>
    </row>
    <row r="32" ht="15" customHeight="1" s="418">
      <c r="A32" s="484" t="n"/>
      <c r="B32" s="471" t="n"/>
      <c r="C32" s="472" t="n"/>
      <c r="D32" s="473" t="n"/>
      <c r="E32" s="473" t="n"/>
      <c r="F32" s="473" t="n"/>
      <c r="G32" s="474" t="n"/>
      <c r="H32" s="474" t="n"/>
      <c r="I32" s="67" t="n"/>
      <c r="J32" s="475">
        <f>F32-E32</f>
        <v/>
      </c>
      <c r="K32" s="476" t="n"/>
      <c r="L32" s="450" t="n"/>
      <c r="M32" s="477" t="n"/>
      <c r="O32" s="71">
        <f>I32-L32-N32</f>
        <v/>
      </c>
      <c r="P32" s="479" t="n"/>
      <c r="R32" s="480" t="n"/>
      <c r="S32" s="481" t="n"/>
      <c r="T32" s="482" t="n"/>
      <c r="V32" s="483" t="n"/>
      <c r="W32" s="448" t="n"/>
      <c r="X32" s="448" t="n"/>
      <c r="Y32" s="448" t="n"/>
      <c r="Z32" s="448" t="n"/>
      <c r="AA32" s="448" t="n"/>
      <c r="AB32" s="448" t="n"/>
      <c r="AC32" s="448" t="n"/>
      <c r="AD32" s="448" t="n"/>
      <c r="AE32" s="448" t="n"/>
      <c r="AF32" s="448" t="n"/>
      <c r="AG32" s="448" t="n"/>
      <c r="AH32" s="448" t="n"/>
      <c r="AI32" s="448" t="n"/>
      <c r="AJ32" s="448" t="n"/>
      <c r="AK32" s="448" t="n"/>
      <c r="AL32" s="448" t="n"/>
      <c r="AM32" s="448" t="n"/>
      <c r="AN32" s="448" t="n"/>
      <c r="AO32" s="448" t="n"/>
      <c r="AP32" s="448" t="n"/>
      <c r="AQ32" s="448" t="n"/>
      <c r="AR32" s="448" t="n"/>
      <c r="AS32" s="448" t="n"/>
      <c r="AT32" s="448" t="n"/>
      <c r="AU32" s="448" t="n"/>
      <c r="AV32" s="448" t="n"/>
      <c r="AW32" s="448" t="n"/>
      <c r="AX32" s="448" t="n"/>
      <c r="AY32" s="448" t="n"/>
      <c r="AZ32" s="448" t="n"/>
    </row>
    <row r="33" ht="15" customHeight="1" s="418">
      <c r="A33" s="485" t="inlineStr">
        <is>
          <t>TOTAL</t>
        </is>
      </c>
      <c r="B33" s="486" t="n"/>
      <c r="C33" s="486" t="n"/>
      <c r="D33" s="486" t="n"/>
      <c r="E33" s="486" t="n"/>
      <c r="F33" s="486" t="n"/>
      <c r="G33" s="486" t="n"/>
      <c r="H33" s="486" t="n"/>
      <c r="I33" s="486" t="n"/>
      <c r="J33" s="486" t="n"/>
      <c r="K33" s="486" t="n"/>
      <c r="L33" s="486" t="n"/>
      <c r="M33" s="486" t="n"/>
      <c r="N33" s="487" t="n"/>
      <c r="O33" s="80">
        <f>SUM(O31:O32)</f>
        <v/>
      </c>
      <c r="P33" s="485" t="n"/>
      <c r="Q33" s="495" t="n"/>
      <c r="R33" s="494" t="n"/>
      <c r="S33" s="505" t="n"/>
      <c r="V33" s="483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8" t="n"/>
      <c r="AY33" s="448" t="n"/>
      <c r="AZ33" s="448" t="n"/>
    </row>
    <row r="34" ht="15" customHeight="1" s="418">
      <c r="F34" s="30" t="n"/>
      <c r="P34" s="83" t="n"/>
      <c r="S34" s="447" t="n"/>
      <c r="V34" s="483" t="n"/>
      <c r="W34" s="448" t="n"/>
      <c r="X34" s="448" t="n"/>
      <c r="Y34" s="448" t="n"/>
      <c r="Z34" s="448" t="n"/>
      <c r="AA34" s="448" t="n"/>
      <c r="AB34" s="448" t="n"/>
      <c r="AC34" s="448" t="n"/>
      <c r="AD34" s="448" t="n"/>
      <c r="AE34" s="448" t="n"/>
      <c r="AF34" s="448" t="n"/>
      <c r="AG34" s="448" t="n"/>
      <c r="AH34" s="448" t="n"/>
      <c r="AI34" s="448" t="n"/>
      <c r="AJ34" s="448" t="n"/>
      <c r="AK34" s="448" t="n"/>
      <c r="AL34" s="448" t="n"/>
      <c r="AM34" s="448" t="n"/>
      <c r="AN34" s="448" t="n"/>
      <c r="AO34" s="448" t="n"/>
      <c r="AP34" s="448" t="n"/>
      <c r="AQ34" s="448" t="n"/>
      <c r="AR34" s="448" t="n"/>
      <c r="AS34" s="448" t="n"/>
      <c r="AT34" s="448" t="n"/>
      <c r="AU34" s="448" t="n"/>
      <c r="AV34" s="448" t="n"/>
      <c r="AW34" s="448" t="n"/>
      <c r="AX34" s="448" t="n"/>
      <c r="AY34" s="448" t="n"/>
      <c r="AZ34" s="448" t="n"/>
    </row>
    <row r="35" ht="15" customHeight="1" s="418">
      <c r="A35" s="456" t="inlineStr">
        <is>
          <t>Operación 4 - Pagos varios - Dólares</t>
        </is>
      </c>
      <c r="P35" s="83" t="n"/>
      <c r="S35" s="93" t="n"/>
      <c r="V35" s="483" t="n"/>
      <c r="W35" s="448" t="n"/>
      <c r="X35" s="448" t="n"/>
      <c r="Y35" s="448" t="n"/>
      <c r="Z35" s="448" t="n"/>
      <c r="AA35" s="448" t="n"/>
      <c r="AB35" s="448" t="n"/>
      <c r="AC35" s="448" t="n"/>
      <c r="AD35" s="448" t="n"/>
      <c r="AE35" s="448" t="n"/>
      <c r="AF35" s="448" t="n"/>
      <c r="AG35" s="448" t="n"/>
      <c r="AH35" s="448" t="n"/>
      <c r="AI35" s="448" t="n"/>
      <c r="AJ35" s="448" t="n"/>
      <c r="AK35" s="448" t="n"/>
      <c r="AL35" s="448" t="n"/>
      <c r="AM35" s="448" t="n"/>
      <c r="AN35" s="448" t="n"/>
      <c r="AO35" s="448" t="n"/>
      <c r="AP35" s="448" t="n"/>
      <c r="AQ35" s="448" t="n"/>
      <c r="AR35" s="448" t="n"/>
      <c r="AS35" s="448" t="n"/>
      <c r="AT35" s="448" t="n"/>
      <c r="AU35" s="448" t="n"/>
      <c r="AV35" s="448" t="n"/>
      <c r="AW35" s="448" t="n"/>
      <c r="AX35" s="448" t="n"/>
      <c r="AY35" s="448" t="n"/>
      <c r="AZ35" s="448" t="n"/>
    </row>
    <row r="36" ht="15" customHeight="1" s="418">
      <c r="A36" s="491" t="inlineStr">
        <is>
          <t>PROVEEDOR</t>
        </is>
      </c>
      <c r="B36" s="462" t="inlineStr">
        <is>
          <t>TIPO</t>
        </is>
      </c>
      <c r="C36" s="463" t="inlineStr">
        <is>
          <t>N° DOCUMENTO</t>
        </is>
      </c>
      <c r="D36" s="462" t="inlineStr">
        <is>
          <t>FEC. REGISTRO</t>
        </is>
      </c>
      <c r="E36" s="462" t="inlineStr">
        <is>
          <t>FEC.DOC</t>
        </is>
      </c>
      <c r="F36" s="462" t="inlineStr">
        <is>
          <t>FEC.VCTO</t>
        </is>
      </c>
      <c r="G36" s="58" t="inlineStr">
        <is>
          <t>IMPORTE</t>
        </is>
      </c>
      <c r="H36" s="58" t="inlineStr">
        <is>
          <t>PAGADO</t>
        </is>
      </c>
      <c r="I36" s="58" t="inlineStr">
        <is>
          <t>SALDO</t>
        </is>
      </c>
      <c r="J36" s="465" t="inlineStr">
        <is>
          <t>PLAZO</t>
        </is>
      </c>
      <c r="K36" s="104" t="inlineStr">
        <is>
          <t>% DET</t>
        </is>
      </c>
      <c r="L36" s="465" t="inlineStr">
        <is>
          <t>DET</t>
        </is>
      </c>
      <c r="M36" s="58" t="inlineStr">
        <is>
          <t>% RET</t>
        </is>
      </c>
      <c r="N36" s="58" t="inlineStr">
        <is>
          <t>RET</t>
        </is>
      </c>
      <c r="O36" s="58" t="inlineStr">
        <is>
          <t>Neto</t>
        </is>
      </c>
      <c r="P36" s="469" t="inlineStr">
        <is>
          <t>DETALLE</t>
        </is>
      </c>
      <c r="Q36" s="469" t="inlineStr">
        <is>
          <t>N° O/C-O/S</t>
        </is>
      </c>
      <c r="R36" s="469" t="inlineStr">
        <is>
          <t>N° Registro</t>
        </is>
      </c>
      <c r="S36" s="469" t="inlineStr">
        <is>
          <t>LINK FACTURA</t>
        </is>
      </c>
      <c r="V36" s="483" t="n"/>
      <c r="W36" s="448" t="n"/>
      <c r="X36" s="448" t="n"/>
      <c r="Y36" s="448" t="n"/>
      <c r="Z36" s="448" t="n"/>
      <c r="AA36" s="448" t="n"/>
      <c r="AB36" s="448" t="n"/>
      <c r="AC36" s="448" t="n"/>
      <c r="AD36" s="448" t="n"/>
      <c r="AE36" s="448" t="n"/>
      <c r="AF36" s="448" t="n"/>
      <c r="AG36" s="448" t="n"/>
      <c r="AH36" s="448" t="n"/>
      <c r="AI36" s="448" t="n"/>
      <c r="AJ36" s="448" t="n"/>
      <c r="AK36" s="448" t="n"/>
      <c r="AL36" s="448" t="n"/>
      <c r="AM36" s="448" t="n"/>
      <c r="AN36" s="448" t="n"/>
      <c r="AO36" s="448" t="n"/>
      <c r="AP36" s="448" t="n"/>
      <c r="AQ36" s="448" t="n"/>
      <c r="AR36" s="448" t="n"/>
      <c r="AS36" s="448" t="n"/>
      <c r="AT36" s="448" t="n"/>
      <c r="AU36" s="448" t="n"/>
      <c r="AV36" s="448" t="n"/>
      <c r="AW36" s="448" t="n"/>
      <c r="AX36" s="448" t="n"/>
      <c r="AY36" s="448" t="n"/>
      <c r="AZ36" s="448" t="n"/>
    </row>
    <row r="37" ht="15" customHeight="1" s="418">
      <c r="A37" s="470" t="n"/>
      <c r="B37" s="471" t="n"/>
      <c r="C37" s="472" t="n"/>
      <c r="D37" s="473" t="n"/>
      <c r="E37" s="473" t="n"/>
      <c r="F37" s="473" t="n"/>
      <c r="G37" s="474" t="n"/>
      <c r="H37" s="474" t="n"/>
      <c r="I37" s="67" t="n"/>
      <c r="J37" s="475">
        <f>F37-E37</f>
        <v/>
      </c>
      <c r="K37" s="476" t="n"/>
      <c r="L37" s="450" t="n"/>
      <c r="M37" s="477" t="n"/>
      <c r="O37" s="71">
        <f>I37-L37-N37</f>
        <v/>
      </c>
      <c r="P37" s="479" t="n"/>
      <c r="R37" s="480" t="n"/>
      <c r="S37" s="481" t="n"/>
      <c r="T37" s="482" t="n"/>
      <c r="V37" s="483" t="n"/>
      <c r="W37" s="448" t="n"/>
      <c r="X37" s="448" t="n"/>
      <c r="Y37" s="448" t="n"/>
      <c r="Z37" s="448" t="n"/>
      <c r="AA37" s="448" t="n"/>
      <c r="AB37" s="448" t="n"/>
      <c r="AC37" s="448" t="n"/>
      <c r="AD37" s="448" t="n"/>
      <c r="AE37" s="448" t="n"/>
      <c r="AF37" s="448" t="n"/>
      <c r="AG37" s="448" t="n"/>
      <c r="AH37" s="448" t="n"/>
      <c r="AI37" s="448" t="n"/>
      <c r="AJ37" s="448" t="n"/>
      <c r="AK37" s="448" t="n"/>
      <c r="AL37" s="448" t="n"/>
      <c r="AM37" s="448" t="n"/>
      <c r="AN37" s="448" t="n"/>
      <c r="AO37" s="448" t="n"/>
      <c r="AP37" s="448" t="n"/>
      <c r="AQ37" s="448" t="n"/>
      <c r="AR37" s="448" t="n"/>
      <c r="AS37" s="448" t="n"/>
      <c r="AT37" s="448" t="n"/>
      <c r="AU37" s="448" t="n"/>
      <c r="AV37" s="448" t="n"/>
      <c r="AW37" s="448" t="n"/>
      <c r="AX37" s="448" t="n"/>
      <c r="AY37" s="448" t="n"/>
      <c r="AZ37" s="448" t="n"/>
    </row>
    <row r="38" ht="15" customHeight="1" s="418">
      <c r="A38" s="484" t="n"/>
      <c r="B38" s="471" t="n"/>
      <c r="C38" s="472" t="n"/>
      <c r="D38" s="473" t="n"/>
      <c r="E38" s="473" t="n"/>
      <c r="F38" s="473" t="n"/>
      <c r="G38" s="474" t="n"/>
      <c r="H38" s="474" t="n"/>
      <c r="I38" s="67" t="n"/>
      <c r="J38" s="475">
        <f>F38-E38</f>
        <v/>
      </c>
      <c r="K38" s="476" t="n"/>
      <c r="L38" s="450" t="n"/>
      <c r="M38" s="477" t="n"/>
      <c r="O38" s="71">
        <f>I38-L38-N38</f>
        <v/>
      </c>
      <c r="P38" s="479" t="n"/>
      <c r="R38" s="480" t="n"/>
      <c r="S38" s="481" t="n"/>
      <c r="T38" s="482" t="n"/>
      <c r="V38" s="483" t="n"/>
      <c r="W38" s="448" t="n"/>
      <c r="X38" s="448" t="n"/>
      <c r="Y38" s="448" t="n"/>
      <c r="Z38" s="448" t="n"/>
      <c r="AA38" s="448" t="n"/>
      <c r="AB38" s="448" t="n"/>
      <c r="AC38" s="448" t="n"/>
      <c r="AD38" s="448" t="n"/>
      <c r="AE38" s="448" t="n"/>
      <c r="AF38" s="448" t="n"/>
      <c r="AG38" s="448" t="n"/>
      <c r="AH38" s="448" t="n"/>
      <c r="AI38" s="448" t="n"/>
      <c r="AJ38" s="448" t="n"/>
      <c r="AK38" s="448" t="n"/>
      <c r="AL38" s="448" t="n"/>
      <c r="AM38" s="448" t="n"/>
      <c r="AN38" s="448" t="n"/>
      <c r="AO38" s="448" t="n"/>
      <c r="AP38" s="448" t="n"/>
      <c r="AQ38" s="448" t="n"/>
      <c r="AR38" s="448" t="n"/>
      <c r="AS38" s="448" t="n"/>
      <c r="AT38" s="448" t="n"/>
      <c r="AU38" s="448" t="n"/>
      <c r="AV38" s="448" t="n"/>
      <c r="AW38" s="448" t="n"/>
      <c r="AX38" s="448" t="n"/>
      <c r="AY38" s="448" t="n"/>
      <c r="AZ38" s="448" t="n"/>
    </row>
    <row r="39" ht="15" customHeight="1" s="418">
      <c r="A39" s="485" t="inlineStr">
        <is>
          <t>TOTAL</t>
        </is>
      </c>
      <c r="B39" s="486" t="n"/>
      <c r="C39" s="486" t="n"/>
      <c r="D39" s="486" t="n"/>
      <c r="E39" s="486" t="n"/>
      <c r="F39" s="486" t="n"/>
      <c r="G39" s="486" t="n"/>
      <c r="H39" s="486" t="n"/>
      <c r="I39" s="486" t="n"/>
      <c r="J39" s="486" t="n"/>
      <c r="K39" s="486" t="n"/>
      <c r="L39" s="486" t="n"/>
      <c r="M39" s="486" t="n"/>
      <c r="N39" s="487" t="n"/>
      <c r="O39" s="80">
        <f>SUM(#REF!)</f>
        <v/>
      </c>
      <c r="P39" s="488" t="n"/>
      <c r="Q39" s="494" t="n"/>
      <c r="R39" s="494" t="n"/>
      <c r="S39" s="496" t="n"/>
      <c r="V39" s="483" t="n"/>
      <c r="W39" s="448" t="n"/>
      <c r="X39" s="448" t="n"/>
      <c r="Y39" s="448" t="n"/>
      <c r="Z39" s="448" t="n"/>
      <c r="AA39" s="448" t="n"/>
      <c r="AB39" s="448" t="n"/>
      <c r="AC39" s="448" t="n"/>
      <c r="AD39" s="448" t="n"/>
      <c r="AE39" s="448" t="n"/>
      <c r="AF39" s="448" t="n"/>
      <c r="AG39" s="448" t="n"/>
      <c r="AH39" s="448" t="n"/>
      <c r="AI39" s="448" t="n"/>
      <c r="AJ39" s="448" t="n"/>
      <c r="AK39" s="448" t="n"/>
      <c r="AL39" s="448" t="n"/>
      <c r="AM39" s="448" t="n"/>
      <c r="AN39" s="448" t="n"/>
      <c r="AO39" s="448" t="n"/>
      <c r="AP39" s="448" t="n"/>
      <c r="AQ39" s="448" t="n"/>
      <c r="AR39" s="448" t="n"/>
      <c r="AS39" s="448" t="n"/>
      <c r="AT39" s="448" t="n"/>
      <c r="AU39" s="448" t="n"/>
      <c r="AV39" s="448" t="n"/>
      <c r="AW39" s="448" t="n"/>
      <c r="AX39" s="448" t="n"/>
      <c r="AY39" s="448" t="n"/>
      <c r="AZ39" s="448" t="n"/>
    </row>
    <row r="40" ht="15" customHeight="1" s="418">
      <c r="P40" s="83" t="n"/>
      <c r="V40" s="483" t="n"/>
      <c r="W40" s="448" t="n"/>
      <c r="X40" s="448" t="n"/>
      <c r="Y40" s="448" t="n"/>
      <c r="Z40" s="448" t="n"/>
      <c r="AA40" s="448" t="n"/>
      <c r="AB40" s="448" t="n"/>
      <c r="AC40" s="448" t="n"/>
      <c r="AD40" s="448" t="n"/>
      <c r="AE40" s="448" t="n"/>
      <c r="AF40" s="448" t="n"/>
      <c r="AG40" s="448" t="n"/>
      <c r="AH40" s="448" t="n"/>
      <c r="AI40" s="448" t="n"/>
      <c r="AJ40" s="448" t="n"/>
      <c r="AK40" s="448" t="n"/>
      <c r="AL40" s="448" t="n"/>
      <c r="AM40" s="448" t="n"/>
      <c r="AN40" s="448" t="n"/>
      <c r="AO40" s="448" t="n"/>
      <c r="AP40" s="448" t="n"/>
      <c r="AQ40" s="448" t="n"/>
      <c r="AR40" s="448" t="n"/>
      <c r="AS40" s="448" t="n"/>
      <c r="AT40" s="448" t="n"/>
      <c r="AU40" s="448" t="n"/>
      <c r="AV40" s="448" t="n"/>
      <c r="AW40" s="448" t="n"/>
      <c r="AX40" s="448" t="n"/>
      <c r="AY40" s="448" t="n"/>
      <c r="AZ40" s="448" t="n"/>
    </row>
    <row r="41" ht="15" customHeight="1" s="418">
      <c r="A41" s="456" t="inlineStr">
        <is>
          <t>Operación 5 - Pagos servicios - Soles</t>
        </is>
      </c>
      <c r="J41" s="30" t="n"/>
      <c r="P41" s="83" t="n"/>
      <c r="V41" s="483" t="n"/>
      <c r="W41" s="448" t="n"/>
      <c r="X41" s="448" t="n"/>
      <c r="Y41" s="448" t="n"/>
      <c r="Z41" s="448" t="n"/>
      <c r="AA41" s="448" t="n"/>
      <c r="AB41" s="448" t="n"/>
      <c r="AC41" s="448" t="n"/>
      <c r="AD41" s="448" t="n"/>
      <c r="AE41" s="448" t="n"/>
      <c r="AF41" s="448" t="n"/>
      <c r="AG41" s="448" t="n"/>
      <c r="AH41" s="448" t="n"/>
      <c r="AI41" s="448" t="n"/>
      <c r="AJ41" s="448" t="n"/>
      <c r="AK41" s="448" t="n"/>
      <c r="AL41" s="448" t="n"/>
      <c r="AM41" s="448" t="n"/>
      <c r="AN41" s="448" t="n"/>
      <c r="AO41" s="448" t="n"/>
      <c r="AP41" s="448" t="n"/>
      <c r="AQ41" s="448" t="n"/>
      <c r="AR41" s="448" t="n"/>
      <c r="AS41" s="448" t="n"/>
      <c r="AT41" s="448" t="n"/>
      <c r="AU41" s="448" t="n"/>
      <c r="AV41" s="448" t="n"/>
      <c r="AW41" s="448" t="n"/>
      <c r="AX41" s="448" t="n"/>
      <c r="AY41" s="448" t="n"/>
      <c r="AZ41" s="448" t="n"/>
    </row>
    <row r="42" ht="15" customHeight="1" s="418">
      <c r="A42" s="491" t="inlineStr">
        <is>
          <t>PROVEEDOR</t>
        </is>
      </c>
      <c r="B42" s="464" t="inlineStr">
        <is>
          <t>TIPO</t>
        </is>
      </c>
      <c r="C42" s="498" t="inlineStr">
        <is>
          <t>N° DOCUMENTO</t>
        </is>
      </c>
      <c r="D42" s="506" t="inlineStr">
        <is>
          <t>FEC. REGISTRO</t>
        </is>
      </c>
      <c r="E42" s="462" t="inlineStr">
        <is>
          <t>FEC.DOC</t>
        </is>
      </c>
      <c r="F42" s="462" t="inlineStr">
        <is>
          <t>FEC.VCTO</t>
        </is>
      </c>
      <c r="G42" s="58" t="inlineStr">
        <is>
          <t>IMPORTE</t>
        </is>
      </c>
      <c r="H42" s="58" t="inlineStr">
        <is>
          <t>PAGADO</t>
        </is>
      </c>
      <c r="I42" s="97" t="inlineStr">
        <is>
          <t>SALDO</t>
        </is>
      </c>
      <c r="J42" s="465" t="inlineStr">
        <is>
          <t>PLAZO</t>
        </is>
      </c>
      <c r="K42" s="104" t="inlineStr">
        <is>
          <t>% DET</t>
        </is>
      </c>
      <c r="L42" s="465" t="inlineStr">
        <is>
          <t>DET</t>
        </is>
      </c>
      <c r="M42" s="58" t="inlineStr">
        <is>
          <t>% RET</t>
        </is>
      </c>
      <c r="N42" s="97" t="inlineStr">
        <is>
          <t>RET</t>
        </is>
      </c>
      <c r="O42" s="58" t="inlineStr">
        <is>
          <t>Neto</t>
        </is>
      </c>
      <c r="P42" s="492" t="inlineStr">
        <is>
          <t>DETALLE</t>
        </is>
      </c>
      <c r="Q42" s="468" t="inlineStr">
        <is>
          <t>N° O/C-O/S</t>
        </is>
      </c>
      <c r="R42" s="469" t="inlineStr">
        <is>
          <t>N° Registro</t>
        </is>
      </c>
      <c r="S42" s="492" t="inlineStr">
        <is>
          <t>LINK FACTURA</t>
        </is>
      </c>
      <c r="V42" s="483" t="n"/>
      <c r="W42" s="448" t="n"/>
      <c r="X42" s="448" t="n"/>
      <c r="Y42" s="448" t="n"/>
      <c r="Z42" s="448" t="n"/>
      <c r="AA42" s="448" t="n"/>
      <c r="AB42" s="448" t="n"/>
      <c r="AC42" s="448" t="n"/>
      <c r="AD42" s="448" t="n"/>
      <c r="AE42" s="448" t="n"/>
      <c r="AF42" s="448" t="n"/>
      <c r="AG42" s="448" t="n"/>
      <c r="AH42" s="448" t="n"/>
      <c r="AI42" s="448" t="n"/>
      <c r="AJ42" s="448" t="n"/>
      <c r="AK42" s="448" t="n"/>
      <c r="AL42" s="448" t="n"/>
      <c r="AM42" s="448" t="n"/>
      <c r="AN42" s="448" t="n"/>
      <c r="AO42" s="448" t="n"/>
      <c r="AP42" s="448" t="n"/>
      <c r="AQ42" s="448" t="n"/>
      <c r="AR42" s="448" t="n"/>
      <c r="AS42" s="448" t="n"/>
      <c r="AT42" s="448" t="n"/>
      <c r="AU42" s="448" t="n"/>
      <c r="AV42" s="448" t="n"/>
      <c r="AW42" s="448" t="n"/>
      <c r="AX42" s="448" t="n"/>
      <c r="AY42" s="448" t="n"/>
      <c r="AZ42" s="448" t="n"/>
    </row>
    <row r="43" ht="15" customHeight="1" s="418">
      <c r="A43" s="470" t="n"/>
      <c r="B43" s="471" t="n"/>
      <c r="C43" s="472" t="n"/>
      <c r="D43" s="473" t="n"/>
      <c r="E43" s="473" t="n"/>
      <c r="F43" s="473" t="n"/>
      <c r="G43" s="474" t="n"/>
      <c r="H43" s="474" t="n"/>
      <c r="I43" s="67" t="n"/>
      <c r="J43" s="475">
        <f>F43-E43</f>
        <v/>
      </c>
      <c r="K43" s="476" t="n"/>
      <c r="L43" s="450" t="n"/>
      <c r="M43" s="477" t="n"/>
      <c r="O43" s="71">
        <f>I43-L43-N43</f>
        <v/>
      </c>
      <c r="P43" s="479" t="n"/>
      <c r="R43" s="480" t="n"/>
      <c r="S43" s="481" t="n"/>
      <c r="T43" s="482" t="n"/>
      <c r="V43" s="483" t="n"/>
      <c r="W43" s="448" t="n"/>
      <c r="X43" s="448" t="n"/>
      <c r="Y43" s="448" t="n"/>
      <c r="Z43" s="448" t="n"/>
      <c r="AA43" s="448" t="n"/>
      <c r="AB43" s="448" t="n"/>
      <c r="AC43" s="448" t="n"/>
      <c r="AD43" s="448" t="n"/>
      <c r="AE43" s="448" t="n"/>
      <c r="AF43" s="448" t="n"/>
      <c r="AG43" s="448" t="n"/>
      <c r="AH43" s="448" t="n"/>
      <c r="AI43" s="448" t="n"/>
      <c r="AJ43" s="448" t="n"/>
      <c r="AK43" s="448" t="n"/>
      <c r="AL43" s="448" t="n"/>
      <c r="AM43" s="448" t="n"/>
      <c r="AN43" s="448" t="n"/>
      <c r="AO43" s="448" t="n"/>
      <c r="AP43" s="448" t="n"/>
      <c r="AQ43" s="448" t="n"/>
      <c r="AR43" s="448" t="n"/>
      <c r="AS43" s="448" t="n"/>
      <c r="AT43" s="448" t="n"/>
      <c r="AU43" s="448" t="n"/>
      <c r="AV43" s="448" t="n"/>
      <c r="AW43" s="448" t="n"/>
      <c r="AX43" s="448" t="n"/>
      <c r="AY43" s="448" t="n"/>
      <c r="AZ43" s="448" t="n"/>
    </row>
    <row r="44" ht="15" customHeight="1" s="418">
      <c r="A44" s="484" t="n"/>
      <c r="B44" s="471" t="n"/>
      <c r="C44" s="472" t="n"/>
      <c r="D44" s="473" t="n"/>
      <c r="E44" s="473" t="n"/>
      <c r="F44" s="473" t="n"/>
      <c r="G44" s="474" t="n"/>
      <c r="H44" s="474" t="n"/>
      <c r="I44" s="67" t="n"/>
      <c r="J44" s="475">
        <f>F44-E44</f>
        <v/>
      </c>
      <c r="K44" s="476" t="n"/>
      <c r="L44" s="450" t="n"/>
      <c r="M44" s="477" t="n"/>
      <c r="O44" s="71">
        <f>I44-L44-N44</f>
        <v/>
      </c>
      <c r="P44" s="479" t="n"/>
      <c r="R44" s="480" t="n"/>
      <c r="S44" s="481" t="n"/>
      <c r="T44" s="482" t="n"/>
      <c r="V44" s="483" t="n"/>
      <c r="W44" s="448" t="n"/>
      <c r="X44" s="448" t="n"/>
      <c r="Y44" s="448" t="n"/>
      <c r="Z44" s="448" t="n"/>
      <c r="AA44" s="448" t="n"/>
      <c r="AB44" s="448" t="n"/>
      <c r="AC44" s="448" t="n"/>
      <c r="AD44" s="448" t="n"/>
      <c r="AE44" s="448" t="n"/>
      <c r="AF44" s="448" t="n"/>
      <c r="AG44" s="448" t="n"/>
      <c r="AH44" s="448" t="n"/>
      <c r="AI44" s="448" t="n"/>
      <c r="AJ44" s="448" t="n"/>
      <c r="AK44" s="448" t="n"/>
      <c r="AL44" s="448" t="n"/>
      <c r="AM44" s="448" t="n"/>
      <c r="AN44" s="448" t="n"/>
      <c r="AO44" s="448" t="n"/>
      <c r="AP44" s="448" t="n"/>
      <c r="AQ44" s="448" t="n"/>
      <c r="AR44" s="448" t="n"/>
      <c r="AS44" s="448" t="n"/>
      <c r="AT44" s="448" t="n"/>
      <c r="AU44" s="448" t="n"/>
      <c r="AV44" s="448" t="n"/>
      <c r="AW44" s="448" t="n"/>
      <c r="AX44" s="448" t="n"/>
      <c r="AY44" s="448" t="n"/>
      <c r="AZ44" s="448" t="n"/>
    </row>
    <row r="45" ht="15" customHeight="1" s="418">
      <c r="A45" s="485" t="inlineStr">
        <is>
          <t>TOTAL</t>
        </is>
      </c>
      <c r="B45" s="486" t="n"/>
      <c r="C45" s="486" t="n"/>
      <c r="D45" s="486" t="n"/>
      <c r="E45" s="486" t="n"/>
      <c r="F45" s="486" t="n"/>
      <c r="G45" s="486" t="n"/>
      <c r="H45" s="486" t="n"/>
      <c r="I45" s="486" t="n"/>
      <c r="J45" s="486" t="n"/>
      <c r="K45" s="486" t="n"/>
      <c r="L45" s="486" t="n"/>
      <c r="M45" s="486" t="n"/>
      <c r="N45" s="487" t="n"/>
      <c r="O45" s="80">
        <f>SUM(O43:P44)</f>
        <v/>
      </c>
      <c r="P45" s="508" t="n"/>
      <c r="Q45" s="495" t="n"/>
      <c r="R45" s="494" t="n"/>
      <c r="S45" s="509" t="n"/>
      <c r="T45" s="448" t="n"/>
      <c r="V45" s="483" t="n"/>
      <c r="W45" s="448" t="n"/>
      <c r="X45" s="448" t="n"/>
      <c r="Y45" s="448" t="n"/>
      <c r="Z45" s="448" t="n"/>
      <c r="AA45" s="448" t="n"/>
      <c r="AB45" s="448" t="n"/>
      <c r="AC45" s="448" t="n"/>
      <c r="AD45" s="448" t="n"/>
      <c r="AE45" s="448" t="n"/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8" t="n"/>
      <c r="AO45" s="448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8" t="n"/>
      <c r="AY45" s="448" t="n"/>
      <c r="AZ45" s="448" t="n"/>
    </row>
    <row r="46" ht="15" customHeight="1" s="418">
      <c r="G46" s="35" t="n"/>
      <c r="V46" s="483" t="n"/>
      <c r="W46" s="448" t="n"/>
      <c r="X46" s="448" t="n"/>
      <c r="Y46" s="448" t="n"/>
      <c r="Z46" s="448" t="n"/>
      <c r="AA46" s="448" t="n"/>
      <c r="AB46" s="448" t="n"/>
      <c r="AC46" s="448" t="n"/>
      <c r="AD46" s="448" t="n"/>
      <c r="AE46" s="448" t="n"/>
      <c r="AF46" s="448" t="n"/>
      <c r="AG46" s="448" t="n"/>
      <c r="AH46" s="448" t="n"/>
      <c r="AI46" s="448" t="n"/>
      <c r="AJ46" s="448" t="n"/>
      <c r="AK46" s="448" t="n"/>
      <c r="AL46" s="448" t="n"/>
      <c r="AM46" s="448" t="n"/>
      <c r="AN46" s="448" t="n"/>
      <c r="AO46" s="448" t="n"/>
      <c r="AP46" s="448" t="n"/>
      <c r="AQ46" s="448" t="n"/>
      <c r="AR46" s="448" t="n"/>
      <c r="AS46" s="448" t="n"/>
      <c r="AT46" s="448" t="n"/>
      <c r="AU46" s="448" t="n"/>
      <c r="AV46" s="448" t="n"/>
      <c r="AW46" s="448" t="n"/>
      <c r="AX46" s="448" t="n"/>
      <c r="AY46" s="448" t="n"/>
      <c r="AZ46" s="448" t="n"/>
    </row>
    <row r="47" ht="15" customHeight="1" s="418">
      <c r="A47" s="456" t="inlineStr">
        <is>
          <t>PAGOS AL PERSONAL SOLES</t>
        </is>
      </c>
      <c r="F47" s="93" t="n"/>
      <c r="V47" s="483" t="n"/>
      <c r="W47" s="448" t="n"/>
      <c r="X47" s="448" t="n"/>
      <c r="Y47" s="448" t="n"/>
      <c r="Z47" s="448" t="n"/>
      <c r="AA47" s="448" t="n"/>
      <c r="AB47" s="448" t="n"/>
      <c r="AC47" s="448" t="n"/>
      <c r="AD47" s="448" t="n"/>
      <c r="AE47" s="448" t="n"/>
      <c r="AF47" s="448" t="n"/>
      <c r="AG47" s="448" t="n"/>
      <c r="AH47" s="448" t="n"/>
      <c r="AI47" s="448" t="n"/>
      <c r="AJ47" s="448" t="n"/>
      <c r="AK47" s="448" t="n"/>
      <c r="AL47" s="448" t="n"/>
      <c r="AM47" s="448" t="n"/>
      <c r="AN47" s="448" t="n"/>
      <c r="AO47" s="448" t="n"/>
      <c r="AP47" s="448" t="n"/>
      <c r="AQ47" s="448" t="n"/>
      <c r="AR47" s="448" t="n"/>
      <c r="AS47" s="448" t="n"/>
      <c r="AT47" s="448" t="n"/>
      <c r="AU47" s="448" t="n"/>
      <c r="AV47" s="448" t="n"/>
      <c r="AW47" s="448" t="n"/>
      <c r="AX47" s="448" t="n"/>
      <c r="AY47" s="448" t="n"/>
      <c r="AZ47" s="448" t="n"/>
    </row>
    <row r="48" ht="15" customHeight="1" s="418">
      <c r="A48" s="491" t="inlineStr">
        <is>
          <t>PROVEEDOR</t>
        </is>
      </c>
      <c r="B48" s="462" t="inlineStr">
        <is>
          <t>TIPO</t>
        </is>
      </c>
      <c r="C48" s="498" t="inlineStr">
        <is>
          <t>N° DOCUMENTO</t>
        </is>
      </c>
      <c r="D48" s="462" t="inlineStr">
        <is>
          <t>FEC. REGISTRO</t>
        </is>
      </c>
      <c r="E48" s="462" t="inlineStr">
        <is>
          <t>FEC.DOC</t>
        </is>
      </c>
      <c r="F48" s="462" t="inlineStr">
        <is>
          <t>FEC.VCTO</t>
        </is>
      </c>
      <c r="G48" s="58" t="inlineStr">
        <is>
          <t>IMPORTE</t>
        </is>
      </c>
      <c r="H48" s="58" t="inlineStr">
        <is>
          <t>PAGADO</t>
        </is>
      </c>
      <c r="I48" s="58" t="inlineStr">
        <is>
          <t>SALDO</t>
        </is>
      </c>
      <c r="J48" s="465" t="n"/>
      <c r="K48" s="98" t="inlineStr">
        <is>
          <t>% DET</t>
        </is>
      </c>
      <c r="L48" s="465" t="inlineStr">
        <is>
          <t>DET</t>
        </is>
      </c>
      <c r="M48" s="58" t="inlineStr">
        <is>
          <t>% RET</t>
        </is>
      </c>
      <c r="N48" s="58" t="inlineStr">
        <is>
          <t>RET</t>
        </is>
      </c>
      <c r="O48" s="58" t="n"/>
      <c r="P48" s="492" t="inlineStr">
        <is>
          <t>DETALLE</t>
        </is>
      </c>
      <c r="Q48" s="469" t="inlineStr">
        <is>
          <t>N° O/C-O/S</t>
        </is>
      </c>
      <c r="R48" s="469" t="n"/>
      <c r="S48" s="499" t="inlineStr">
        <is>
          <t>LINK FACTURA</t>
        </is>
      </c>
      <c r="V48" s="483" t="n"/>
      <c r="W48" s="448" t="n"/>
      <c r="X48" s="448" t="n"/>
      <c r="Y48" s="448" t="n"/>
      <c r="Z48" s="448" t="n"/>
      <c r="AA48" s="448" t="n"/>
      <c r="AB48" s="448" t="n"/>
      <c r="AC48" s="448" t="n"/>
      <c r="AD48" s="448" t="n"/>
      <c r="AE48" s="448" t="n"/>
      <c r="AF48" s="448" t="n"/>
      <c r="AG48" s="448" t="n"/>
      <c r="AH48" s="448" t="n"/>
      <c r="AI48" s="448" t="n"/>
      <c r="AJ48" s="448" t="n"/>
      <c r="AK48" s="448" t="n"/>
      <c r="AL48" s="448" t="n"/>
      <c r="AM48" s="448" t="n"/>
      <c r="AN48" s="448" t="n"/>
      <c r="AO48" s="448" t="n"/>
      <c r="AP48" s="448" t="n"/>
      <c r="AQ48" s="448" t="n"/>
      <c r="AR48" s="448" t="n"/>
      <c r="AS48" s="448" t="n"/>
      <c r="AT48" s="448" t="n"/>
      <c r="AU48" s="448" t="n"/>
      <c r="AV48" s="448" t="n"/>
      <c r="AW48" s="448" t="n"/>
      <c r="AX48" s="448" t="n"/>
      <c r="AY48" s="448" t="n"/>
      <c r="AZ48" s="448" t="n"/>
    </row>
    <row r="49" ht="15" customHeight="1" s="418">
      <c r="A49" s="510" t="inlineStr">
        <is>
          <t>BANCO BCP</t>
        </is>
      </c>
      <c r="B49" s="511" t="n"/>
      <c r="C49" s="512" t="n"/>
      <c r="D49" s="513" t="n"/>
      <c r="E49" s="514" t="n"/>
      <c r="F49" s="514" t="n"/>
      <c r="G49" s="117" t="n"/>
      <c r="H49" s="117" t="n"/>
      <c r="J49" s="475">
        <f>F49-E49</f>
        <v/>
      </c>
      <c r="K49" s="476" t="n"/>
      <c r="L49" s="450" t="n"/>
      <c r="M49" s="477" t="n"/>
      <c r="O49" s="118">
        <f>I49</f>
        <v/>
      </c>
      <c r="P49" s="479" t="n"/>
      <c r="S49" s="516" t="n"/>
      <c r="V49" s="483" t="n"/>
      <c r="W49" s="448" t="n"/>
      <c r="X49" s="448" t="n"/>
      <c r="Y49" s="448" t="n"/>
      <c r="Z49" s="448" t="n"/>
      <c r="AA49" s="448" t="n"/>
      <c r="AB49" s="448" t="n"/>
      <c r="AC49" s="448" t="n"/>
      <c r="AD49" s="448" t="n"/>
      <c r="AE49" s="448" t="n"/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8" t="n"/>
      <c r="AO49" s="448" t="n"/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8" t="n"/>
      <c r="AY49" s="448" t="n"/>
      <c r="AZ49" s="448" t="n"/>
    </row>
    <row r="50" ht="15" customHeight="1" s="418">
      <c r="A50" s="517" t="inlineStr">
        <is>
          <t>BANCO BBVA</t>
        </is>
      </c>
      <c r="B50" s="447" t="n"/>
      <c r="D50" s="518" t="n"/>
      <c r="E50" s="519" t="n"/>
      <c r="F50" s="519" t="n"/>
      <c r="G50" s="37" t="n"/>
      <c r="H50" s="37" t="n"/>
      <c r="J50" s="475">
        <f>F50-E50</f>
        <v/>
      </c>
      <c r="K50" s="476" t="n"/>
      <c r="L50" s="450" t="n"/>
      <c r="M50" s="477" t="n"/>
      <c r="O50" s="118">
        <f>I50</f>
        <v/>
      </c>
      <c r="P50" s="479" t="n"/>
      <c r="S50" s="516" t="n"/>
      <c r="V50" s="483" t="n"/>
      <c r="W50" s="448" t="n"/>
      <c r="X50" s="448" t="n"/>
      <c r="Y50" s="448" t="n"/>
      <c r="Z50" s="448" t="n"/>
      <c r="AA50" s="448" t="n"/>
      <c r="AB50" s="448" t="n"/>
      <c r="AC50" s="448" t="n"/>
      <c r="AD50" s="448" t="n"/>
      <c r="AE50" s="448" t="n"/>
      <c r="AF50" s="448" t="n"/>
      <c r="AG50" s="448" t="n"/>
      <c r="AH50" s="448" t="n"/>
      <c r="AI50" s="448" t="n"/>
      <c r="AJ50" s="448" t="n"/>
      <c r="AK50" s="448" t="n"/>
      <c r="AL50" s="448" t="n"/>
      <c r="AM50" s="448" t="n"/>
      <c r="AN50" s="448" t="n"/>
      <c r="AO50" s="448" t="n"/>
      <c r="AP50" s="448" t="n"/>
      <c r="AQ50" s="448" t="n"/>
      <c r="AR50" s="448" t="n"/>
      <c r="AS50" s="448" t="n"/>
      <c r="AT50" s="448" t="n"/>
      <c r="AU50" s="448" t="n"/>
      <c r="AV50" s="448" t="n"/>
      <c r="AW50" s="448" t="n"/>
      <c r="AX50" s="448" t="n"/>
      <c r="AY50" s="448" t="n"/>
      <c r="AZ50" s="448" t="n"/>
    </row>
    <row r="51" ht="15" customHeight="1" s="418">
      <c r="A51" s="517" t="inlineStr">
        <is>
          <t>BANCO INTERBANK</t>
        </is>
      </c>
      <c r="B51" s="447" t="n"/>
      <c r="D51" s="518" t="n"/>
      <c r="E51" s="519" t="n"/>
      <c r="F51" s="519" t="n"/>
      <c r="G51" s="37" t="n"/>
      <c r="H51" s="37" t="n"/>
      <c r="J51" s="475">
        <f>F51-E51</f>
        <v/>
      </c>
      <c r="K51" s="476" t="n"/>
      <c r="L51" s="450" t="n"/>
      <c r="M51" s="477" t="n"/>
      <c r="O51" s="118">
        <f>I51</f>
        <v/>
      </c>
      <c r="P51" s="479" t="n"/>
      <c r="S51" s="516" t="n"/>
      <c r="V51" s="483" t="n"/>
      <c r="W51" s="448" t="n"/>
      <c r="X51" s="448" t="n"/>
      <c r="Y51" s="448" t="n"/>
      <c r="Z51" s="448" t="n"/>
      <c r="AA51" s="448" t="n"/>
      <c r="AB51" s="448" t="n"/>
      <c r="AC51" s="448" t="n"/>
      <c r="AD51" s="448" t="n"/>
      <c r="AE51" s="448" t="n"/>
      <c r="AF51" s="448" t="n"/>
      <c r="AG51" s="448" t="n"/>
      <c r="AH51" s="448" t="n"/>
      <c r="AI51" s="448" t="n"/>
      <c r="AJ51" s="448" t="n"/>
      <c r="AK51" s="448" t="n"/>
      <c r="AL51" s="448" t="n"/>
      <c r="AM51" s="448" t="n"/>
      <c r="AN51" s="448" t="n"/>
      <c r="AO51" s="448" t="n"/>
      <c r="AP51" s="448" t="n"/>
      <c r="AQ51" s="448" t="n"/>
      <c r="AR51" s="448" t="n"/>
      <c r="AS51" s="448" t="n"/>
      <c r="AT51" s="448" t="n"/>
      <c r="AU51" s="448" t="n"/>
      <c r="AV51" s="448" t="n"/>
      <c r="AW51" s="448" t="n"/>
      <c r="AX51" s="448" t="n"/>
      <c r="AY51" s="448" t="n"/>
      <c r="AZ51" s="448" t="n"/>
    </row>
    <row r="52" ht="15" customHeight="1" s="418">
      <c r="A52" s="517" t="inlineStr">
        <is>
          <t>BANCO SCOTIABANK</t>
        </is>
      </c>
      <c r="B52" s="447" t="n"/>
      <c r="D52" s="518" t="n"/>
      <c r="E52" s="519" t="n"/>
      <c r="F52" s="519" t="n"/>
      <c r="G52" s="37" t="n"/>
      <c r="H52" s="37" t="n"/>
      <c r="J52" s="475">
        <f>F52-E52</f>
        <v/>
      </c>
      <c r="K52" s="476" t="n"/>
      <c r="L52" s="450" t="n"/>
      <c r="M52" s="477" t="n"/>
      <c r="O52" s="118">
        <f>I52</f>
        <v/>
      </c>
      <c r="P52" s="479" t="n"/>
      <c r="S52" s="516" t="n"/>
      <c r="V52" s="483" t="n"/>
      <c r="W52" s="448" t="n"/>
      <c r="X52" s="448" t="n"/>
      <c r="Y52" s="448" t="n"/>
      <c r="Z52" s="448" t="n"/>
      <c r="AA52" s="448" t="n"/>
      <c r="AB52" s="448" t="n"/>
      <c r="AC52" s="448" t="n"/>
      <c r="AD52" s="448" t="n"/>
      <c r="AE52" s="448" t="n"/>
      <c r="AF52" s="448" t="n"/>
      <c r="AG52" s="448" t="n"/>
      <c r="AH52" s="448" t="n"/>
      <c r="AI52" s="448" t="n"/>
      <c r="AJ52" s="448" t="n"/>
      <c r="AK52" s="448" t="n"/>
      <c r="AL52" s="448" t="n"/>
      <c r="AM52" s="448" t="n"/>
      <c r="AN52" s="448" t="n"/>
      <c r="AO52" s="448" t="n"/>
      <c r="AP52" s="448" t="n"/>
      <c r="AQ52" s="448" t="n"/>
      <c r="AR52" s="448" t="n"/>
      <c r="AS52" s="448" t="n"/>
      <c r="AT52" s="448" t="n"/>
      <c r="AU52" s="448" t="n"/>
      <c r="AV52" s="448" t="n"/>
      <c r="AW52" s="448" t="n"/>
      <c r="AX52" s="448" t="n"/>
      <c r="AY52" s="448" t="n"/>
      <c r="AZ52" s="448" t="n"/>
    </row>
    <row r="53" ht="15" customHeight="1" s="418">
      <c r="A53" s="517" t="inlineStr">
        <is>
          <t>BANCO FALABELLA</t>
        </is>
      </c>
      <c r="B53" s="447" t="n"/>
      <c r="D53" s="518" t="n"/>
      <c r="E53" s="519" t="n"/>
      <c r="F53" s="519" t="n"/>
      <c r="G53" s="37" t="n"/>
      <c r="H53" s="37" t="n"/>
      <c r="J53" s="475">
        <f>F53-E53</f>
        <v/>
      </c>
      <c r="K53" s="476" t="n"/>
      <c r="L53" s="450" t="n"/>
      <c r="M53" s="477" t="n"/>
      <c r="O53" s="118">
        <f>I53</f>
        <v/>
      </c>
      <c r="P53" s="479" t="n"/>
      <c r="S53" s="516" t="n"/>
      <c r="V53" s="483" t="n"/>
      <c r="W53" s="448" t="n"/>
      <c r="X53" s="448" t="n"/>
      <c r="Y53" s="448" t="n"/>
      <c r="Z53" s="448" t="n"/>
      <c r="AA53" s="448" t="n"/>
      <c r="AB53" s="448" t="n"/>
      <c r="AC53" s="448" t="n"/>
      <c r="AD53" s="448" t="n"/>
      <c r="AE53" s="448" t="n"/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8" t="n"/>
      <c r="AO53" s="448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8" t="n"/>
      <c r="AY53" s="448" t="n"/>
      <c r="AZ53" s="448" t="n"/>
    </row>
    <row r="54" ht="15" customHeight="1" s="418">
      <c r="A54" s="517" t="inlineStr">
        <is>
          <t>BANCO COMERCIO</t>
        </is>
      </c>
      <c r="B54" s="447" t="n"/>
      <c r="D54" s="518" t="n"/>
      <c r="E54" s="519" t="n"/>
      <c r="F54" s="519" t="n"/>
      <c r="G54" s="37" t="n"/>
      <c r="H54" s="37" t="n"/>
      <c r="J54" s="475">
        <f>F54-E54</f>
        <v/>
      </c>
      <c r="K54" s="476" t="n"/>
      <c r="L54" s="450" t="n"/>
      <c r="M54" s="477" t="n"/>
      <c r="O54" s="118">
        <f>I54</f>
        <v/>
      </c>
      <c r="P54" s="479" t="n"/>
      <c r="S54" s="516" t="n"/>
      <c r="V54" s="483" t="n"/>
      <c r="W54" s="448" t="n"/>
      <c r="X54" s="448" t="n"/>
      <c r="Y54" s="448" t="n"/>
      <c r="Z54" s="448" t="n"/>
      <c r="AA54" s="448" t="n"/>
      <c r="AB54" s="448" t="n"/>
      <c r="AC54" s="448" t="n"/>
      <c r="AD54" s="448" t="n"/>
      <c r="AE54" s="448" t="n"/>
      <c r="AF54" s="448" t="n"/>
      <c r="AG54" s="448" t="n"/>
      <c r="AH54" s="448" t="n"/>
      <c r="AI54" s="448" t="n"/>
      <c r="AJ54" s="448" t="n"/>
      <c r="AK54" s="448" t="n"/>
      <c r="AL54" s="448" t="n"/>
      <c r="AM54" s="448" t="n"/>
      <c r="AN54" s="448" t="n"/>
      <c r="AO54" s="448" t="n"/>
      <c r="AP54" s="448" t="n"/>
      <c r="AQ54" s="448" t="n"/>
      <c r="AR54" s="448" t="n"/>
      <c r="AS54" s="448" t="n"/>
      <c r="AT54" s="448" t="n"/>
      <c r="AU54" s="448" t="n"/>
      <c r="AV54" s="448" t="n"/>
      <c r="AW54" s="448" t="n"/>
      <c r="AX54" s="448" t="n"/>
      <c r="AY54" s="448" t="n"/>
      <c r="AZ54" s="448" t="n"/>
    </row>
    <row r="55" ht="15" customHeight="1" s="418">
      <c r="A55" s="517" t="inlineStr">
        <is>
          <t>CAJA HUANCAYO</t>
        </is>
      </c>
      <c r="B55" s="447" t="n"/>
      <c r="D55" s="518" t="n"/>
      <c r="E55" s="519" t="n"/>
      <c r="F55" s="519" t="n"/>
      <c r="G55" s="37" t="n"/>
      <c r="H55" s="37" t="n"/>
      <c r="J55" s="475">
        <f>F55-E55</f>
        <v/>
      </c>
      <c r="K55" s="476" t="n"/>
      <c r="L55" s="450" t="n"/>
      <c r="M55" s="477" t="n"/>
      <c r="O55" s="118">
        <f>I55</f>
        <v/>
      </c>
      <c r="P55" s="479" t="n"/>
      <c r="S55" s="516" t="n"/>
      <c r="V55" s="483" t="n"/>
      <c r="W55" s="448" t="n"/>
      <c r="X55" s="448" t="n"/>
      <c r="Y55" s="448" t="n"/>
      <c r="Z55" s="448" t="n"/>
      <c r="AA55" s="448" t="n"/>
      <c r="AB55" s="448" t="n"/>
      <c r="AC55" s="448" t="n"/>
      <c r="AD55" s="448" t="n"/>
      <c r="AE55" s="448" t="n"/>
      <c r="AF55" s="448" t="n"/>
      <c r="AG55" s="448" t="n"/>
      <c r="AH55" s="448" t="n"/>
      <c r="AI55" s="448" t="n"/>
      <c r="AJ55" s="448" t="n"/>
      <c r="AK55" s="448" t="n"/>
      <c r="AL55" s="448" t="n"/>
      <c r="AM55" s="448" t="n"/>
      <c r="AN55" s="448" t="n"/>
      <c r="AO55" s="448" t="n"/>
      <c r="AP55" s="448" t="n"/>
      <c r="AQ55" s="448" t="n"/>
      <c r="AR55" s="448" t="n"/>
      <c r="AS55" s="448" t="n"/>
      <c r="AT55" s="448" t="n"/>
      <c r="AU55" s="448" t="n"/>
      <c r="AV55" s="448" t="n"/>
      <c r="AW55" s="448" t="n"/>
      <c r="AX55" s="448" t="n"/>
      <c r="AY55" s="448" t="n"/>
      <c r="AZ55" s="448" t="n"/>
    </row>
    <row r="56" ht="15" customHeight="1" s="418">
      <c r="A56" s="517" t="inlineStr">
        <is>
          <t>CAJA PIURA</t>
        </is>
      </c>
      <c r="B56" s="447" t="n"/>
      <c r="D56" s="518" t="n"/>
      <c r="E56" s="519" t="n"/>
      <c r="F56" s="519" t="n"/>
      <c r="G56" s="37" t="n"/>
      <c r="H56" s="37" t="n"/>
      <c r="J56" s="475">
        <f>F56-E56</f>
        <v/>
      </c>
      <c r="K56" s="476" t="n"/>
      <c r="L56" s="450" t="n"/>
      <c r="M56" s="477" t="n"/>
      <c r="O56" s="118">
        <f>I56</f>
        <v/>
      </c>
      <c r="P56" s="479" t="n"/>
      <c r="S56" s="516" t="n"/>
      <c r="V56" s="483" t="n"/>
      <c r="W56" s="448" t="n"/>
      <c r="X56" s="448" t="n"/>
      <c r="Y56" s="448" t="n"/>
      <c r="Z56" s="448" t="n"/>
      <c r="AA56" s="448" t="n"/>
      <c r="AB56" s="448" t="n"/>
      <c r="AC56" s="448" t="n"/>
      <c r="AD56" s="448" t="n"/>
      <c r="AE56" s="448" t="n"/>
      <c r="AF56" s="448" t="n"/>
      <c r="AG56" s="448" t="n"/>
      <c r="AH56" s="448" t="n"/>
      <c r="AI56" s="448" t="n"/>
      <c r="AJ56" s="448" t="n"/>
      <c r="AK56" s="448" t="n"/>
      <c r="AL56" s="448" t="n"/>
      <c r="AM56" s="448" t="n"/>
      <c r="AN56" s="448" t="n"/>
      <c r="AO56" s="448" t="n"/>
      <c r="AP56" s="448" t="n"/>
      <c r="AQ56" s="448" t="n"/>
      <c r="AR56" s="448" t="n"/>
      <c r="AS56" s="448" t="n"/>
      <c r="AT56" s="448" t="n"/>
      <c r="AU56" s="448" t="n"/>
      <c r="AV56" s="448" t="n"/>
      <c r="AW56" s="448" t="n"/>
      <c r="AX56" s="448" t="n"/>
      <c r="AY56" s="448" t="n"/>
      <c r="AZ56" s="448" t="n"/>
    </row>
    <row r="57" ht="15" customHeight="1" s="418">
      <c r="A57" s="517" t="inlineStr">
        <is>
          <t>VARIOS</t>
        </is>
      </c>
      <c r="B57" s="447" t="n"/>
      <c r="D57" s="518" t="n"/>
      <c r="E57" s="519" t="n"/>
      <c r="F57" s="519" t="n"/>
      <c r="G57" s="37" t="n"/>
      <c r="H57" s="37" t="n"/>
      <c r="J57" s="475">
        <f>F57-E57</f>
        <v/>
      </c>
      <c r="K57" s="476" t="n"/>
      <c r="L57" s="450" t="n"/>
      <c r="M57" s="477" t="n"/>
      <c r="O57" s="118">
        <f>I57</f>
        <v/>
      </c>
      <c r="P57" s="479" t="n"/>
      <c r="S57" s="516" t="n"/>
      <c r="V57" s="483" t="n"/>
      <c r="W57" s="448" t="n"/>
      <c r="X57" s="448" t="n"/>
      <c r="Y57" s="448" t="n"/>
      <c r="Z57" s="448" t="n"/>
      <c r="AA57" s="448" t="n"/>
      <c r="AB57" s="448" t="n"/>
      <c r="AC57" s="448" t="n"/>
      <c r="AD57" s="448" t="n"/>
      <c r="AE57" s="448" t="n"/>
      <c r="AF57" s="448" t="n"/>
      <c r="AG57" s="448" t="n"/>
      <c r="AH57" s="448" t="n"/>
      <c r="AI57" s="448" t="n"/>
      <c r="AJ57" s="448" t="n"/>
      <c r="AK57" s="448" t="n"/>
      <c r="AL57" s="448" t="n"/>
      <c r="AM57" s="448" t="n"/>
      <c r="AN57" s="448" t="n"/>
      <c r="AO57" s="448" t="n"/>
      <c r="AP57" s="448" t="n"/>
      <c r="AQ57" s="448" t="n"/>
      <c r="AR57" s="448" t="n"/>
      <c r="AS57" s="448" t="n"/>
      <c r="AT57" s="448" t="n"/>
      <c r="AU57" s="448" t="n"/>
      <c r="AV57" s="448" t="n"/>
      <c r="AW57" s="448" t="n"/>
      <c r="AX57" s="448" t="n"/>
      <c r="AY57" s="448" t="n"/>
      <c r="AZ57" s="448" t="n"/>
    </row>
    <row r="58" ht="15" customHeight="1" s="418">
      <c r="A58" s="520" t="inlineStr">
        <is>
          <t xml:space="preserve">MARY OLGA SAICO  ICHPAS </t>
        </is>
      </c>
      <c r="B58" s="521" t="n"/>
      <c r="C58" s="522" t="n"/>
      <c r="D58" s="523" t="n"/>
      <c r="E58" s="524" t="n"/>
      <c r="F58" s="524" t="n"/>
      <c r="G58" s="129" t="n"/>
      <c r="H58" s="129" t="n"/>
      <c r="I58" s="130" t="n"/>
      <c r="J58" s="475">
        <f>F58-E58</f>
        <v/>
      </c>
      <c r="K58" s="476" t="n"/>
      <c r="L58" s="450" t="n"/>
      <c r="M58" s="477" t="n"/>
      <c r="O58" s="118">
        <f>I58</f>
        <v/>
      </c>
      <c r="P58" s="479" t="n"/>
      <c r="Q58" s="525" t="n"/>
      <c r="R58" s="525" t="n"/>
      <c r="S58" s="516" t="n"/>
      <c r="V58" s="483" t="n"/>
    </row>
    <row r="59" ht="12.75" customHeight="1" s="418">
      <c r="A59" s="485" t="inlineStr">
        <is>
          <t>TOTAL</t>
        </is>
      </c>
      <c r="B59" s="486" t="n"/>
      <c r="C59" s="486" t="n"/>
      <c r="D59" s="486" t="n"/>
      <c r="E59" s="486" t="n"/>
      <c r="F59" s="486" t="n"/>
      <c r="G59" s="486" t="n"/>
      <c r="H59" s="486" t="n"/>
      <c r="I59" s="486" t="n"/>
      <c r="J59" s="486" t="n"/>
      <c r="K59" s="486" t="n"/>
      <c r="L59" s="486" t="n"/>
      <c r="M59" s="486" t="n"/>
      <c r="N59" s="487" t="n"/>
      <c r="O59" s="80">
        <f>SUM(O49:O58)</f>
        <v/>
      </c>
      <c r="P59" s="508" t="n"/>
      <c r="Q59" s="494" t="n"/>
      <c r="R59" s="494" t="n"/>
      <c r="S59" s="500" t="n"/>
      <c r="V59" s="483" t="n"/>
      <c r="W59" s="448" t="n"/>
      <c r="X59" s="448" t="n"/>
      <c r="Y59" s="448" t="n"/>
      <c r="Z59" s="448" t="n"/>
      <c r="AA59" s="448" t="n"/>
      <c r="AB59" s="448" t="n"/>
      <c r="AC59" s="448" t="n"/>
      <c r="AD59" s="448" t="n"/>
      <c r="AE59" s="448" t="n"/>
      <c r="AF59" s="448" t="n"/>
      <c r="AG59" s="448" t="n"/>
      <c r="AH59" s="448" t="n"/>
      <c r="AI59" s="448" t="n"/>
      <c r="AJ59" s="448" t="n"/>
      <c r="AK59" s="448" t="n"/>
      <c r="AL59" s="448" t="n"/>
      <c r="AM59" s="448" t="n"/>
      <c r="AN59" s="448" t="n"/>
      <c r="AO59" s="448" t="n"/>
      <c r="AP59" s="448" t="n"/>
      <c r="AQ59" s="448" t="n"/>
      <c r="AR59" s="448" t="n"/>
      <c r="AS59" s="448" t="n"/>
      <c r="AT59" s="448" t="n"/>
      <c r="AU59" s="448" t="n"/>
      <c r="AV59" s="448" t="n"/>
      <c r="AW59" s="448" t="n"/>
      <c r="AX59" s="448" t="n"/>
      <c r="AY59" s="448" t="n"/>
      <c r="AZ59" s="448" t="n"/>
    </row>
    <row r="60" ht="15" customHeight="1" s="418">
      <c r="P60" s="478" t="n"/>
      <c r="V60" s="483" t="n"/>
      <c r="W60" s="448" t="n"/>
      <c r="X60" s="448" t="n"/>
      <c r="Y60" s="448" t="n"/>
      <c r="Z60" s="448" t="n"/>
      <c r="AA60" s="448" t="n"/>
      <c r="AB60" s="448" t="n"/>
      <c r="AC60" s="448" t="n"/>
      <c r="AD60" s="448" t="n"/>
      <c r="AE60" s="448" t="n"/>
      <c r="AF60" s="448" t="n"/>
      <c r="AG60" s="448" t="n"/>
      <c r="AH60" s="448" t="n"/>
      <c r="AI60" s="448" t="n"/>
      <c r="AJ60" s="448" t="n"/>
      <c r="AK60" s="448" t="n"/>
      <c r="AL60" s="448" t="n"/>
      <c r="AM60" s="448" t="n"/>
      <c r="AN60" s="448" t="n"/>
      <c r="AO60" s="448" t="n"/>
      <c r="AP60" s="448" t="n"/>
      <c r="AQ60" s="448" t="n"/>
      <c r="AR60" s="448" t="n"/>
      <c r="AS60" s="448" t="n"/>
      <c r="AT60" s="448" t="n"/>
      <c r="AU60" s="448" t="n"/>
      <c r="AV60" s="448" t="n"/>
      <c r="AW60" s="448" t="n"/>
      <c r="AX60" s="448" t="n"/>
      <c r="AY60" s="448" t="n"/>
      <c r="AZ60" s="448" t="n"/>
    </row>
    <row r="61" ht="15" customHeight="1" s="418">
      <c r="A61" s="456" t="inlineStr">
        <is>
          <t>PAGOS SEGUROS SOLES</t>
        </is>
      </c>
      <c r="V61" s="483" t="n"/>
      <c r="W61" s="448" t="n"/>
      <c r="X61" s="448" t="n"/>
      <c r="Y61" s="448" t="n"/>
      <c r="Z61" s="448" t="n"/>
      <c r="AA61" s="448" t="n"/>
      <c r="AB61" s="448" t="n"/>
      <c r="AC61" s="448" t="n"/>
      <c r="AD61" s="448" t="n"/>
      <c r="AE61" s="448" t="n"/>
      <c r="AF61" s="448" t="n"/>
      <c r="AG61" s="448" t="n"/>
      <c r="AH61" s="448" t="n"/>
      <c r="AI61" s="448" t="n"/>
      <c r="AJ61" s="448" t="n"/>
      <c r="AK61" s="448" t="n"/>
      <c r="AL61" s="448" t="n"/>
      <c r="AM61" s="448" t="n"/>
      <c r="AN61" s="448" t="n"/>
      <c r="AO61" s="448" t="n"/>
      <c r="AP61" s="448" t="n"/>
      <c r="AQ61" s="448" t="n"/>
      <c r="AR61" s="448" t="n"/>
      <c r="AS61" s="448" t="n"/>
      <c r="AT61" s="448" t="n"/>
      <c r="AU61" s="448" t="n"/>
      <c r="AV61" s="448" t="n"/>
      <c r="AW61" s="448" t="n"/>
      <c r="AX61" s="448" t="n"/>
      <c r="AY61" s="448" t="n"/>
      <c r="AZ61" s="448" t="n"/>
    </row>
    <row r="62" ht="15" customHeight="1" s="418">
      <c r="A62" s="526" t="inlineStr">
        <is>
          <t>PROVEEDOR</t>
        </is>
      </c>
      <c r="B62" s="494" t="inlineStr">
        <is>
          <t>TIPO</t>
        </is>
      </c>
      <c r="C62" s="485" t="inlineStr">
        <is>
          <t>N° DOCUMENTO</t>
        </is>
      </c>
      <c r="D62" s="494" t="inlineStr">
        <is>
          <t>FEC. REGISTRO</t>
        </is>
      </c>
      <c r="E62" s="494" t="inlineStr">
        <is>
          <t>FEC.DOC</t>
        </is>
      </c>
      <c r="F62" s="494" t="inlineStr">
        <is>
          <t>FEC.VCTO</t>
        </is>
      </c>
      <c r="G62" s="133" t="inlineStr">
        <is>
          <t>IMPORTE</t>
        </is>
      </c>
      <c r="H62" s="133" t="inlineStr">
        <is>
          <t>PAGADO</t>
        </is>
      </c>
      <c r="I62" s="133" t="inlineStr">
        <is>
          <t>SALDO</t>
        </is>
      </c>
      <c r="J62" s="527" t="n"/>
      <c r="K62" s="105" t="inlineStr">
        <is>
          <t>% DET</t>
        </is>
      </c>
      <c r="L62" s="527" t="inlineStr">
        <is>
          <t>DET</t>
        </is>
      </c>
      <c r="M62" s="133" t="inlineStr">
        <is>
          <t>% RET</t>
        </is>
      </c>
      <c r="N62" s="133" t="inlineStr">
        <is>
          <t>RET</t>
        </is>
      </c>
      <c r="O62" s="58" t="n"/>
      <c r="P62" s="492" t="inlineStr">
        <is>
          <t>DETALLE</t>
        </is>
      </c>
      <c r="Q62" s="469" t="inlineStr">
        <is>
          <t>N° O/C-O/S</t>
        </is>
      </c>
      <c r="R62" s="469" t="n"/>
      <c r="S62" s="499" t="inlineStr">
        <is>
          <t>LINK FACTURA</t>
        </is>
      </c>
      <c r="V62" s="483" t="n"/>
      <c r="W62" s="448" t="n"/>
      <c r="X62" s="448" t="n"/>
      <c r="Y62" s="448" t="n"/>
      <c r="Z62" s="448" t="n"/>
      <c r="AA62" s="448" t="n"/>
      <c r="AB62" s="448" t="n"/>
      <c r="AC62" s="448" t="n"/>
      <c r="AD62" s="448" t="n"/>
      <c r="AE62" s="448" t="n"/>
      <c r="AF62" s="448" t="n"/>
      <c r="AG62" s="448" t="n"/>
      <c r="AH62" s="448" t="n"/>
      <c r="AI62" s="448" t="n"/>
      <c r="AJ62" s="448" t="n"/>
      <c r="AK62" s="448" t="n"/>
      <c r="AL62" s="448" t="n"/>
      <c r="AM62" s="448" t="n"/>
      <c r="AN62" s="448" t="n"/>
      <c r="AO62" s="448" t="n"/>
      <c r="AP62" s="448" t="n"/>
      <c r="AQ62" s="448" t="n"/>
      <c r="AR62" s="448" t="n"/>
      <c r="AS62" s="448" t="n"/>
      <c r="AT62" s="448" t="n"/>
      <c r="AU62" s="448" t="n"/>
      <c r="AV62" s="448" t="n"/>
      <c r="AW62" s="448" t="n"/>
      <c r="AX62" s="448" t="n"/>
      <c r="AY62" s="448" t="n"/>
      <c r="AZ62" s="448" t="n"/>
    </row>
    <row r="63" ht="15" customHeight="1" s="418">
      <c r="A63" s="528" t="inlineStr">
        <is>
          <t>MAPFRE</t>
        </is>
      </c>
      <c r="B63" s="447" t="n"/>
      <c r="C63" s="529" t="n"/>
      <c r="D63" s="518" t="n"/>
      <c r="E63" s="519" t="n"/>
      <c r="F63" s="519" t="n"/>
      <c r="G63" s="37" t="n"/>
      <c r="H63" s="37" t="n"/>
      <c r="I63" s="137" t="n"/>
      <c r="O63" s="138" t="n"/>
      <c r="P63" s="479" t="n"/>
      <c r="S63" s="530" t="n"/>
      <c r="V63" s="483" t="n"/>
      <c r="W63" s="448" t="n"/>
      <c r="X63" s="448" t="n"/>
      <c r="Y63" s="448" t="n"/>
      <c r="Z63" s="448" t="n"/>
      <c r="AA63" s="448" t="n"/>
      <c r="AB63" s="448" t="n"/>
      <c r="AC63" s="448" t="n"/>
      <c r="AD63" s="448" t="n"/>
      <c r="AE63" s="448" t="n"/>
      <c r="AF63" s="448" t="n"/>
      <c r="AG63" s="448" t="n"/>
      <c r="AH63" s="448" t="n"/>
      <c r="AI63" s="448" t="n"/>
      <c r="AJ63" s="448" t="n"/>
      <c r="AK63" s="448" t="n"/>
      <c r="AL63" s="448" t="n"/>
      <c r="AM63" s="448" t="n"/>
      <c r="AN63" s="448" t="n"/>
      <c r="AO63" s="448" t="n"/>
      <c r="AP63" s="448" t="n"/>
      <c r="AQ63" s="448" t="n"/>
      <c r="AR63" s="448" t="n"/>
      <c r="AS63" s="448" t="n"/>
      <c r="AT63" s="448" t="n"/>
      <c r="AU63" s="448" t="n"/>
      <c r="AV63" s="448" t="n"/>
      <c r="AW63" s="448" t="n"/>
      <c r="AX63" s="448" t="n"/>
      <c r="AY63" s="448" t="n"/>
      <c r="AZ63" s="448" t="n"/>
      <c r="BA63" s="448" t="n"/>
    </row>
    <row r="64" ht="15" customHeight="1" s="418">
      <c r="A64" s="531" t="inlineStr">
        <is>
          <t>MAPFRE</t>
        </is>
      </c>
      <c r="B64" s="447" t="n"/>
      <c r="C64" s="529" t="n"/>
      <c r="D64" s="518" t="n"/>
      <c r="E64" s="519" t="n"/>
      <c r="F64" s="519" t="n"/>
      <c r="G64" s="37" t="n"/>
      <c r="H64" s="37" t="n"/>
      <c r="I64" s="137" t="n"/>
      <c r="O64" s="138" t="n"/>
      <c r="P64" s="479" t="n"/>
      <c r="S64" s="516" t="n"/>
      <c r="V64" s="483" t="n"/>
      <c r="W64" s="448" t="n"/>
      <c r="X64" s="448" t="n"/>
      <c r="Y64" s="448" t="n"/>
      <c r="Z64" s="448" t="n"/>
      <c r="AA64" s="448" t="n"/>
      <c r="AB64" s="448" t="n"/>
      <c r="AC64" s="448" t="n"/>
      <c r="AD64" s="448" t="n"/>
      <c r="AE64" s="448" t="n"/>
      <c r="AF64" s="448" t="n"/>
      <c r="AG64" s="448" t="n"/>
      <c r="AH64" s="448" t="n"/>
      <c r="AI64" s="448" t="n"/>
      <c r="AJ64" s="448" t="n"/>
      <c r="AK64" s="448" t="n"/>
      <c r="AL64" s="448" t="n"/>
      <c r="AM64" s="448" t="n"/>
      <c r="AN64" s="448" t="n"/>
      <c r="AO64" s="448" t="n"/>
      <c r="AP64" s="448" t="n"/>
      <c r="AQ64" s="448" t="n"/>
      <c r="AR64" s="448" t="n"/>
      <c r="AS64" s="448" t="n"/>
      <c r="AT64" s="448" t="n"/>
      <c r="AU64" s="448" t="n"/>
      <c r="AV64" s="448" t="n"/>
      <c r="AW64" s="448" t="n"/>
      <c r="AX64" s="448" t="n"/>
      <c r="AY64" s="448" t="n"/>
      <c r="AZ64" s="448" t="n"/>
      <c r="BA64" s="448" t="n"/>
    </row>
    <row r="65" ht="15" customHeight="1" s="418">
      <c r="A65" s="531" t="inlineStr">
        <is>
          <t>MAPFRE</t>
        </is>
      </c>
      <c r="B65" s="447" t="n"/>
      <c r="C65" s="529" t="n"/>
      <c r="D65" s="518" t="n"/>
      <c r="E65" s="519" t="n"/>
      <c r="F65" s="519" t="n"/>
      <c r="G65" s="37" t="n"/>
      <c r="H65" s="37" t="n"/>
      <c r="I65" s="137" t="n"/>
      <c r="O65" s="138" t="n"/>
      <c r="P65" s="479" t="n"/>
      <c r="S65" s="516" t="n"/>
      <c r="V65" s="483" t="n"/>
      <c r="W65" s="448" t="n"/>
      <c r="X65" s="448" t="n"/>
      <c r="Y65" s="448" t="n"/>
      <c r="Z65" s="448" t="n"/>
      <c r="AA65" s="448" t="n"/>
      <c r="AB65" s="448" t="n"/>
      <c r="AC65" s="448" t="n"/>
      <c r="AD65" s="448" t="n"/>
      <c r="AE65" s="448" t="n"/>
      <c r="AF65" s="448" t="n"/>
      <c r="AG65" s="448" t="n"/>
      <c r="AH65" s="448" t="n"/>
      <c r="AI65" s="448" t="n"/>
      <c r="AJ65" s="448" t="n"/>
      <c r="AK65" s="448" t="n"/>
      <c r="AL65" s="448" t="n"/>
      <c r="AM65" s="448" t="n"/>
      <c r="AN65" s="448" t="n"/>
      <c r="AO65" s="448" t="n"/>
      <c r="AP65" s="448" t="n"/>
      <c r="AQ65" s="448" t="n"/>
      <c r="AR65" s="448" t="n"/>
      <c r="AS65" s="448" t="n"/>
      <c r="AT65" s="448" t="n"/>
      <c r="AU65" s="448" t="n"/>
      <c r="AV65" s="448" t="n"/>
      <c r="AW65" s="448" t="n"/>
      <c r="AX65" s="448" t="n"/>
      <c r="AY65" s="448" t="n"/>
      <c r="AZ65" s="448" t="n"/>
    </row>
    <row r="66" ht="15" customHeight="1" s="418">
      <c r="A66" s="531" t="inlineStr">
        <is>
          <t>MAPFRE</t>
        </is>
      </c>
      <c r="B66" s="447" t="n"/>
      <c r="C66" s="529" t="n"/>
      <c r="D66" s="518" t="n"/>
      <c r="E66" s="519" t="n"/>
      <c r="F66" s="519" t="n"/>
      <c r="G66" s="37" t="n"/>
      <c r="H66" s="37" t="n"/>
      <c r="I66" s="137" t="n"/>
      <c r="O66" s="138" t="n"/>
      <c r="P66" s="479" t="n"/>
      <c r="S66" s="516" t="n"/>
      <c r="V66" s="483" t="n"/>
      <c r="W66" s="448" t="n"/>
      <c r="X66" s="448" t="n"/>
      <c r="Y66" s="448" t="n"/>
      <c r="Z66" s="448" t="n"/>
      <c r="AA66" s="448" t="n"/>
      <c r="AB66" s="448" t="n"/>
      <c r="AC66" s="448" t="n"/>
      <c r="AD66" s="448" t="n"/>
      <c r="AE66" s="448" t="n"/>
      <c r="AF66" s="448" t="n"/>
      <c r="AG66" s="448" t="n"/>
      <c r="AH66" s="448" t="n"/>
      <c r="AI66" s="448" t="n"/>
      <c r="AJ66" s="448" t="n"/>
      <c r="AK66" s="448" t="n"/>
      <c r="AL66" s="448" t="n"/>
      <c r="AM66" s="448" t="n"/>
      <c r="AN66" s="448" t="n"/>
      <c r="AO66" s="448" t="n"/>
      <c r="AP66" s="448" t="n"/>
      <c r="AQ66" s="448" t="n"/>
      <c r="AR66" s="448" t="n"/>
      <c r="AS66" s="448" t="n"/>
      <c r="AT66" s="448" t="n"/>
      <c r="AU66" s="448" t="n"/>
      <c r="AV66" s="448" t="n"/>
      <c r="AW66" s="448" t="n"/>
      <c r="AX66" s="448" t="n"/>
      <c r="AY66" s="448" t="n"/>
      <c r="AZ66" s="448" t="n"/>
    </row>
    <row r="67" ht="15" customHeight="1" s="418">
      <c r="A67" s="517" t="inlineStr">
        <is>
          <t>MAPFRE-EPS</t>
        </is>
      </c>
      <c r="B67" s="447" t="n"/>
      <c r="C67" s="529" t="n"/>
      <c r="D67" s="518" t="n"/>
      <c r="E67" s="519" t="n"/>
      <c r="F67" s="519" t="n"/>
      <c r="G67" s="37" t="n"/>
      <c r="H67" s="37" t="n"/>
      <c r="I67" s="137" t="n"/>
      <c r="O67" s="138" t="n"/>
      <c r="P67" s="479" t="n"/>
      <c r="S67" s="516" t="n"/>
      <c r="V67" s="483" t="n"/>
      <c r="W67" s="448" t="n"/>
      <c r="X67" s="448" t="n"/>
      <c r="Y67" s="448" t="n"/>
      <c r="Z67" s="448" t="n"/>
      <c r="AA67" s="448" t="n"/>
      <c r="AB67" s="448" t="n"/>
      <c r="AC67" s="448" t="n"/>
      <c r="AD67" s="448" t="n"/>
      <c r="AE67" s="448" t="n"/>
      <c r="AF67" s="448" t="n"/>
      <c r="AG67" s="448" t="n"/>
      <c r="AH67" s="448" t="n"/>
      <c r="AI67" s="448" t="n"/>
      <c r="AJ67" s="448" t="n"/>
      <c r="AK67" s="448" t="n"/>
      <c r="AL67" s="448" t="n"/>
      <c r="AM67" s="448" t="n"/>
      <c r="AN67" s="448" t="n"/>
      <c r="AO67" s="448" t="n"/>
      <c r="AP67" s="448" t="n"/>
      <c r="AQ67" s="448" t="n"/>
      <c r="AR67" s="448" t="n"/>
      <c r="AS67" s="448" t="n"/>
      <c r="AT67" s="448" t="n"/>
      <c r="AU67" s="448" t="n"/>
      <c r="AV67" s="448" t="n"/>
      <c r="AW67" s="448" t="n"/>
      <c r="AX67" s="448" t="n"/>
      <c r="AY67" s="448" t="n"/>
      <c r="AZ67" s="448" t="n"/>
    </row>
    <row r="68" ht="15" customHeight="1" s="418">
      <c r="A68" s="532" t="inlineStr">
        <is>
          <t>PROTECTA S.A. COMPAÑIA DE SEGUROS</t>
        </is>
      </c>
      <c r="B68" s="447" t="n"/>
      <c r="C68" s="529" t="n"/>
      <c r="D68" s="518" t="n"/>
      <c r="E68" s="519" t="n"/>
      <c r="F68" s="519" t="n"/>
      <c r="G68" s="37" t="n"/>
      <c r="H68" s="37" t="n"/>
      <c r="I68" s="137" t="n"/>
      <c r="O68" s="138" t="n"/>
      <c r="P68" s="479" t="n"/>
      <c r="S68" s="516" t="n"/>
      <c r="V68" s="483" t="n"/>
      <c r="W68" s="448" t="n"/>
      <c r="X68" s="448" t="n"/>
      <c r="Y68" s="448" t="n"/>
      <c r="Z68" s="448" t="n"/>
      <c r="AA68" s="448" t="n"/>
      <c r="AB68" s="448" t="n"/>
      <c r="AC68" s="448" t="n"/>
      <c r="AD68" s="448" t="n"/>
      <c r="AE68" s="448" t="n"/>
      <c r="AF68" s="448" t="n"/>
      <c r="AG68" s="448" t="n"/>
      <c r="AH68" s="448" t="n"/>
      <c r="AI68" s="448" t="n"/>
      <c r="AJ68" s="448" t="n"/>
      <c r="AK68" s="448" t="n"/>
      <c r="AL68" s="448" t="n"/>
      <c r="AM68" s="448" t="n"/>
      <c r="AN68" s="448" t="n"/>
      <c r="AO68" s="448" t="n"/>
      <c r="AP68" s="448" t="n"/>
      <c r="AQ68" s="448" t="n"/>
      <c r="AR68" s="448" t="n"/>
      <c r="AS68" s="448" t="n"/>
      <c r="AT68" s="448" t="n"/>
      <c r="AU68" s="448" t="n"/>
      <c r="AV68" s="448" t="n"/>
      <c r="AW68" s="448" t="n"/>
      <c r="AX68" s="448" t="n"/>
      <c r="AY68" s="448" t="n"/>
      <c r="AZ68" s="448" t="n"/>
    </row>
    <row r="69" ht="15" customHeight="1" s="418">
      <c r="A69" s="532" t="inlineStr">
        <is>
          <t>PROTECTA S.A. COMPAÑIA DE SEGUROS</t>
        </is>
      </c>
      <c r="B69" s="447" t="n"/>
      <c r="C69" s="529" t="n"/>
      <c r="D69" s="518" t="n"/>
      <c r="E69" s="519" t="n"/>
      <c r="F69" s="519" t="n"/>
      <c r="G69" s="37" t="n"/>
      <c r="H69" s="37" t="n"/>
      <c r="I69" s="137" t="n"/>
      <c r="O69" s="138" t="n"/>
      <c r="P69" s="479" t="n"/>
      <c r="S69" s="516" t="n"/>
      <c r="V69" s="483" t="n"/>
      <c r="W69" s="448" t="n"/>
      <c r="X69" s="448" t="n"/>
      <c r="Y69" s="448" t="n"/>
      <c r="Z69" s="448" t="n"/>
      <c r="AA69" s="448" t="n"/>
      <c r="AB69" s="448" t="n"/>
      <c r="AC69" s="448" t="n"/>
      <c r="AD69" s="448" t="n"/>
      <c r="AE69" s="448" t="n"/>
      <c r="AF69" s="448" t="n"/>
      <c r="AG69" s="448" t="n"/>
      <c r="AH69" s="448" t="n"/>
      <c r="AI69" s="448" t="n"/>
      <c r="AJ69" s="448" t="n"/>
      <c r="AK69" s="448" t="n"/>
      <c r="AL69" s="448" t="n"/>
      <c r="AM69" s="448" t="n"/>
      <c r="AN69" s="448" t="n"/>
      <c r="AO69" s="448" t="n"/>
      <c r="AP69" s="448" t="n"/>
      <c r="AQ69" s="448" t="n"/>
      <c r="AR69" s="448" t="n"/>
      <c r="AS69" s="448" t="n"/>
      <c r="AT69" s="448" t="n"/>
      <c r="AU69" s="448" t="n"/>
      <c r="AV69" s="448" t="n"/>
      <c r="AW69" s="448" t="n"/>
      <c r="AX69" s="448" t="n"/>
      <c r="AY69" s="448" t="n"/>
      <c r="AZ69" s="448" t="n"/>
    </row>
    <row r="70" ht="15" customHeight="1" s="418">
      <c r="A70" s="532" t="inlineStr">
        <is>
          <t>PROTECTA S.A. COMPAÑIA DE SEGUROS</t>
        </is>
      </c>
      <c r="B70" s="447" t="n"/>
      <c r="C70" s="529" t="n"/>
      <c r="D70" s="518" t="n"/>
      <c r="E70" s="519" t="n"/>
      <c r="F70" s="519" t="n"/>
      <c r="G70" s="37" t="n"/>
      <c r="H70" s="37" t="n"/>
      <c r="I70" s="137" t="n"/>
      <c r="O70" s="138" t="n"/>
      <c r="P70" s="479" t="n"/>
      <c r="S70" s="516" t="n"/>
      <c r="V70" s="483" t="n"/>
      <c r="W70" s="448" t="n"/>
      <c r="X70" s="448" t="n"/>
      <c r="Y70" s="448" t="n"/>
      <c r="Z70" s="448" t="n"/>
      <c r="AA70" s="448" t="n"/>
      <c r="AB70" s="448" t="n"/>
      <c r="AC70" s="448" t="n"/>
      <c r="AD70" s="448" t="n"/>
      <c r="AE70" s="448" t="n"/>
      <c r="AF70" s="448" t="n"/>
      <c r="AG70" s="448" t="n"/>
      <c r="AH70" s="448" t="n"/>
      <c r="AI70" s="448" t="n"/>
      <c r="AJ70" s="448" t="n"/>
      <c r="AK70" s="448" t="n"/>
      <c r="AL70" s="448" t="n"/>
      <c r="AM70" s="448" t="n"/>
      <c r="AN70" s="448" t="n"/>
      <c r="AO70" s="448" t="n"/>
      <c r="AP70" s="448" t="n"/>
      <c r="AQ70" s="448" t="n"/>
      <c r="AR70" s="448" t="n"/>
      <c r="AS70" s="448" t="n"/>
      <c r="AT70" s="448" t="n"/>
      <c r="AU70" s="448" t="n"/>
      <c r="AV70" s="448" t="n"/>
      <c r="AW70" s="448" t="n"/>
      <c r="AX70" s="448" t="n"/>
      <c r="AY70" s="448" t="n"/>
      <c r="AZ70" s="448" t="n"/>
    </row>
    <row r="71" ht="15" customFormat="1" customHeight="1" s="37">
      <c r="A71" s="532" t="inlineStr">
        <is>
          <t>PROTECTA S.A. COMPAÑIA DE SEGUROS</t>
        </is>
      </c>
      <c r="B71" s="447" t="n"/>
      <c r="C71" s="529" t="n"/>
      <c r="D71" s="518" t="n"/>
      <c r="E71" s="519" t="n"/>
      <c r="F71" s="519" t="n"/>
      <c r="I71" s="137" t="n"/>
      <c r="J71" s="450" t="n"/>
      <c r="K71" s="32" t="n"/>
      <c r="L71" s="451" t="n"/>
      <c r="M71" s="34" t="n"/>
      <c r="N71" s="30" t="n"/>
      <c r="O71" s="138" t="n"/>
      <c r="P71" s="479" t="n"/>
      <c r="Q71" s="448" t="n"/>
      <c r="R71" s="448" t="n"/>
      <c r="S71" s="516" t="n"/>
      <c r="T71" s="452" t="n"/>
      <c r="V71" s="483" t="n"/>
      <c r="X71" s="137" t="n">
        <v>218.95</v>
      </c>
      <c r="Y71" s="30" t="n"/>
      <c r="Z71" s="451" t="n"/>
      <c r="AA71" s="34" t="n"/>
      <c r="AB71" s="30" t="n"/>
      <c r="AC71" s="138">
        <f>+Y71-AA71-AC71</f>
        <v/>
      </c>
      <c r="AD71" s="533" t="n"/>
      <c r="AE71" s="515" t="inlineStr">
        <is>
          <t>SEGUROS</t>
        </is>
      </c>
      <c r="AF71" s="534" t="inlineStr">
        <is>
          <t>RIMAC SEGUROS</t>
        </is>
      </c>
      <c r="AG71" s="447" t="n"/>
      <c r="AH71" s="529" t="n">
        <v>1086478942</v>
      </c>
      <c r="AI71" s="518" t="n"/>
      <c r="AJ71" s="519" t="n"/>
      <c r="AK71" s="519" t="n">
        <v>45341</v>
      </c>
      <c r="AN71" s="137" t="n">
        <v>218.95</v>
      </c>
      <c r="AO71" s="30" t="n"/>
      <c r="AP71" s="451" t="n"/>
      <c r="AQ71" s="34" t="n"/>
      <c r="AR71" s="30" t="n"/>
      <c r="AS71" s="138">
        <f>+AO71-AQ71-AS71</f>
        <v/>
      </c>
      <c r="AT71" s="533" t="n"/>
      <c r="AU71" s="515" t="inlineStr">
        <is>
          <t>SEGUROS</t>
        </is>
      </c>
      <c r="AV71" s="534" t="inlineStr">
        <is>
          <t>RIMAC SEGUROS</t>
        </is>
      </c>
      <c r="AW71" s="447" t="n"/>
      <c r="AX71" s="529" t="n">
        <v>1086478942</v>
      </c>
      <c r="AY71" s="518" t="n"/>
      <c r="AZ71" s="519" t="n"/>
      <c r="BA71" s="519" t="n">
        <v>45341</v>
      </c>
      <c r="BD71" s="137" t="n">
        <v>218.95</v>
      </c>
      <c r="BE71" s="30" t="n"/>
      <c r="BF71" s="451" t="n"/>
      <c r="BG71" s="34" t="n"/>
      <c r="BH71" s="30" t="n"/>
      <c r="BI71" s="138">
        <f>+BE71-BG71-BI71</f>
        <v/>
      </c>
      <c r="BJ71" s="533" t="n"/>
      <c r="BK71" s="515" t="inlineStr">
        <is>
          <t>SEGUROS</t>
        </is>
      </c>
      <c r="BL71" s="534" t="inlineStr">
        <is>
          <t>RIMAC SEGUROS</t>
        </is>
      </c>
      <c r="BM71" s="447" t="n"/>
      <c r="BN71" s="529" t="n">
        <v>1086478942</v>
      </c>
      <c r="BO71" s="518" t="n"/>
      <c r="BP71" s="519" t="n"/>
      <c r="BQ71" s="519" t="n">
        <v>45341</v>
      </c>
      <c r="BT71" s="137" t="n">
        <v>218.95</v>
      </c>
      <c r="BU71" s="30" t="n"/>
      <c r="BV71" s="451" t="n"/>
      <c r="BW71" s="34" t="n"/>
      <c r="BX71" s="30" t="n"/>
      <c r="BY71" s="138">
        <f>+BU71-BW71-BY71</f>
        <v/>
      </c>
      <c r="BZ71" s="533" t="n"/>
      <c r="CA71" s="515" t="inlineStr">
        <is>
          <t>SEGUROS</t>
        </is>
      </c>
      <c r="CB71" s="534" t="inlineStr">
        <is>
          <t>RIMAC SEGUROS</t>
        </is>
      </c>
      <c r="CC71" s="447" t="n"/>
      <c r="CD71" s="529" t="n">
        <v>1086478942</v>
      </c>
      <c r="CE71" s="518" t="n"/>
      <c r="CF71" s="519" t="n"/>
      <c r="CG71" s="519" t="n">
        <v>45341</v>
      </c>
      <c r="CJ71" s="137" t="n">
        <v>218.95</v>
      </c>
      <c r="CK71" s="30" t="n"/>
      <c r="CL71" s="451" t="n"/>
      <c r="CM71" s="34" t="n"/>
      <c r="CN71" s="30" t="n"/>
      <c r="CO71" s="138">
        <f>+CK71-CM71-CO71</f>
        <v/>
      </c>
      <c r="CP71" s="533" t="n"/>
      <c r="CQ71" s="515" t="inlineStr">
        <is>
          <t>SEGUROS</t>
        </is>
      </c>
      <c r="CR71" s="534" t="inlineStr">
        <is>
          <t>RIMAC SEGUROS</t>
        </is>
      </c>
      <c r="CS71" s="447" t="n"/>
      <c r="CT71" s="529" t="n">
        <v>1086478942</v>
      </c>
      <c r="CU71" s="518" t="n"/>
      <c r="CV71" s="519" t="n"/>
      <c r="CW71" s="519" t="n">
        <v>45341</v>
      </c>
      <c r="CZ71" s="137" t="n">
        <v>218.95</v>
      </c>
      <c r="DA71" s="30" t="n"/>
      <c r="DB71" s="451" t="n"/>
      <c r="DC71" s="34" t="n"/>
      <c r="DD71" s="30" t="n"/>
      <c r="DE71" s="138">
        <f>+DA71-DC71-DE71</f>
        <v/>
      </c>
      <c r="DF71" s="533" t="n"/>
      <c r="DG71" s="515" t="inlineStr">
        <is>
          <t>SEGUROS</t>
        </is>
      </c>
      <c r="DH71" s="534" t="inlineStr">
        <is>
          <t>RIMAC SEGUROS</t>
        </is>
      </c>
      <c r="DI71" s="447" t="n"/>
      <c r="DJ71" s="529" t="n">
        <v>1086478942</v>
      </c>
      <c r="DK71" s="518" t="n"/>
      <c r="DL71" s="519" t="n"/>
      <c r="DM71" s="519" t="n">
        <v>45341</v>
      </c>
      <c r="DP71" s="137" t="n">
        <v>218.95</v>
      </c>
      <c r="DQ71" s="30" t="n"/>
      <c r="DR71" s="451" t="n"/>
      <c r="DS71" s="34" t="n"/>
      <c r="DT71" s="30" t="n"/>
      <c r="DU71" s="138">
        <f>+DQ71-DS71-DU71</f>
        <v/>
      </c>
      <c r="DV71" s="533" t="n"/>
      <c r="DW71" s="515" t="inlineStr">
        <is>
          <t>SEGUROS</t>
        </is>
      </c>
      <c r="DX71" s="534" t="inlineStr">
        <is>
          <t>RIMAC SEGUROS</t>
        </is>
      </c>
      <c r="DY71" s="447" t="n"/>
      <c r="DZ71" s="529" t="n">
        <v>1086478942</v>
      </c>
      <c r="EA71" s="518" t="n"/>
      <c r="EB71" s="519" t="n"/>
      <c r="EC71" s="519" t="n">
        <v>45341</v>
      </c>
      <c r="EF71" s="137" t="n">
        <v>218.95</v>
      </c>
      <c r="EG71" s="30" t="n"/>
      <c r="EH71" s="451" t="n"/>
      <c r="EI71" s="34" t="n"/>
      <c r="EJ71" s="30" t="n"/>
      <c r="EK71" s="138">
        <f>+EG71-EI71-EK71</f>
        <v/>
      </c>
      <c r="EL71" s="533" t="n"/>
      <c r="EM71" s="515" t="inlineStr">
        <is>
          <t>SEGUROS</t>
        </is>
      </c>
      <c r="EN71" s="534" t="inlineStr">
        <is>
          <t>RIMAC SEGUROS</t>
        </is>
      </c>
      <c r="EO71" s="447" t="n"/>
      <c r="EP71" s="529" t="n">
        <v>1086478942</v>
      </c>
      <c r="EQ71" s="518" t="n"/>
      <c r="ER71" s="519" t="n"/>
      <c r="ES71" s="519" t="n">
        <v>45341</v>
      </c>
      <c r="EV71" s="137" t="n">
        <v>218.95</v>
      </c>
      <c r="EW71" s="30" t="n"/>
      <c r="EX71" s="451" t="n"/>
      <c r="EY71" s="34" t="n"/>
      <c r="EZ71" s="30" t="n"/>
      <c r="FA71" s="138">
        <f>+EW71-EY71-FA71</f>
        <v/>
      </c>
      <c r="FB71" s="533" t="n"/>
      <c r="FC71" s="515" t="inlineStr">
        <is>
          <t>SEGUROS</t>
        </is>
      </c>
      <c r="FD71" s="534" t="inlineStr">
        <is>
          <t>RIMAC SEGUROS</t>
        </is>
      </c>
      <c r="FE71" s="447" t="n"/>
      <c r="FF71" s="529" t="n">
        <v>1086478942</v>
      </c>
      <c r="FG71" s="518" t="n"/>
      <c r="FH71" s="519" t="n"/>
      <c r="FI71" s="519" t="n">
        <v>45341</v>
      </c>
      <c r="FL71" s="137" t="n">
        <v>218.95</v>
      </c>
      <c r="FM71" s="30" t="n"/>
      <c r="FN71" s="451" t="n"/>
      <c r="FO71" s="34" t="n"/>
      <c r="FP71" s="30" t="n"/>
      <c r="FQ71" s="138">
        <f>+FM71-FO71-FQ71</f>
        <v/>
      </c>
      <c r="FR71" s="533" t="n"/>
      <c r="FS71" s="515" t="inlineStr">
        <is>
          <t>SEGUROS</t>
        </is>
      </c>
      <c r="FT71" s="534" t="inlineStr">
        <is>
          <t>RIMAC SEGUROS</t>
        </is>
      </c>
      <c r="FU71" s="447" t="n"/>
      <c r="FV71" s="529" t="n">
        <v>1086478942</v>
      </c>
      <c r="FW71" s="518" t="n"/>
      <c r="FX71" s="519" t="n"/>
      <c r="FY71" s="519" t="n">
        <v>45341</v>
      </c>
      <c r="GB71" s="137" t="n">
        <v>218.95</v>
      </c>
      <c r="GC71" s="30" t="n"/>
      <c r="GD71" s="451" t="n"/>
      <c r="GE71" s="34" t="n"/>
      <c r="GF71" s="30" t="n"/>
      <c r="GG71" s="138">
        <f>+GC71-GE71-GG71</f>
        <v/>
      </c>
      <c r="GH71" s="533" t="n"/>
      <c r="GI71" s="515" t="inlineStr">
        <is>
          <t>SEGUROS</t>
        </is>
      </c>
      <c r="GJ71" s="534" t="inlineStr">
        <is>
          <t>RIMAC SEGUROS</t>
        </is>
      </c>
      <c r="GK71" s="447" t="n"/>
      <c r="GL71" s="529" t="n">
        <v>1086478942</v>
      </c>
      <c r="GM71" s="518" t="n"/>
      <c r="GN71" s="519" t="n"/>
      <c r="GO71" s="519" t="n">
        <v>45341</v>
      </c>
      <c r="GR71" s="137" t="n">
        <v>218.95</v>
      </c>
      <c r="GS71" s="30" t="n"/>
      <c r="GT71" s="451" t="n"/>
      <c r="GU71" s="34" t="n"/>
      <c r="GV71" s="30" t="n"/>
      <c r="GW71" s="138">
        <f>+GS71-GU71-GW71</f>
        <v/>
      </c>
      <c r="GX71" s="533" t="n"/>
      <c r="GY71" s="515" t="inlineStr">
        <is>
          <t>SEGUROS</t>
        </is>
      </c>
      <c r="GZ71" s="534" t="inlineStr">
        <is>
          <t>RIMAC SEGUROS</t>
        </is>
      </c>
      <c r="HA71" s="447" t="n"/>
      <c r="HB71" s="529" t="n">
        <v>1086478942</v>
      </c>
      <c r="HC71" s="518" t="n"/>
      <c r="HD71" s="519" t="n"/>
      <c r="HE71" s="519" t="n">
        <v>45341</v>
      </c>
      <c r="HH71" s="137" t="n">
        <v>218.95</v>
      </c>
      <c r="HI71" s="30" t="n"/>
      <c r="HJ71" s="451" t="n"/>
      <c r="HK71" s="34" t="n"/>
      <c r="HL71" s="30" t="n"/>
      <c r="HM71" s="138">
        <f>+HI71-HK71-HM71</f>
        <v/>
      </c>
      <c r="HN71" s="533" t="n"/>
      <c r="HO71" s="515" t="inlineStr">
        <is>
          <t>SEGUROS</t>
        </is>
      </c>
      <c r="HP71" s="534" t="inlineStr">
        <is>
          <t>RIMAC SEGUROS</t>
        </is>
      </c>
      <c r="HQ71" s="447" t="n"/>
      <c r="HR71" s="529" t="n">
        <v>1086478942</v>
      </c>
      <c r="HS71" s="518" t="n"/>
      <c r="HT71" s="519" t="n"/>
      <c r="HU71" s="519" t="n">
        <v>45341</v>
      </c>
      <c r="HX71" s="137" t="n">
        <v>218.95</v>
      </c>
      <c r="HY71" s="30" t="n"/>
      <c r="HZ71" s="451" t="n"/>
      <c r="IA71" s="34" t="n"/>
      <c r="IB71" s="30" t="n"/>
      <c r="IC71" s="138">
        <f>+HY71-IA71-IC71</f>
        <v/>
      </c>
      <c r="ID71" s="533" t="n"/>
      <c r="IE71" s="515" t="inlineStr">
        <is>
          <t>SEGUROS</t>
        </is>
      </c>
      <c r="IF71" s="534" t="inlineStr">
        <is>
          <t>RIMAC SEGUROS</t>
        </is>
      </c>
      <c r="IG71" s="447" t="n"/>
      <c r="IH71" s="529" t="n">
        <v>1086478942</v>
      </c>
      <c r="II71" s="518" t="n"/>
      <c r="IJ71" s="519" t="n"/>
      <c r="IK71" s="519" t="n">
        <v>45341</v>
      </c>
      <c r="IN71" s="137" t="n">
        <v>218.95</v>
      </c>
      <c r="IO71" s="30" t="n"/>
      <c r="IP71" s="451" t="n"/>
      <c r="IQ71" s="34" t="n"/>
      <c r="IR71" s="30" t="n"/>
      <c r="IS71" s="138">
        <f>+IO71-IQ71-IS71</f>
        <v/>
      </c>
      <c r="IT71" s="533" t="n"/>
      <c r="IU71" s="515" t="inlineStr">
        <is>
          <t>SEGUROS</t>
        </is>
      </c>
      <c r="IV71" s="534" t="inlineStr">
        <is>
          <t>RIMAC SEGUROS</t>
        </is>
      </c>
      <c r="IW71" s="447" t="n"/>
      <c r="IX71" s="529" t="n">
        <v>1086478942</v>
      </c>
      <c r="IY71" s="518" t="n"/>
      <c r="IZ71" s="519" t="n"/>
      <c r="JA71" s="519" t="n">
        <v>45341</v>
      </c>
      <c r="JD71" s="137" t="n">
        <v>218.95</v>
      </c>
      <c r="JE71" s="30" t="n"/>
      <c r="JF71" s="451" t="n"/>
      <c r="JG71" s="34" t="n"/>
      <c r="JH71" s="30" t="n"/>
      <c r="JI71" s="138">
        <f>+JE71-JG71-JI71</f>
        <v/>
      </c>
      <c r="JJ71" s="533" t="n"/>
      <c r="JK71" s="515" t="inlineStr">
        <is>
          <t>SEGUROS</t>
        </is>
      </c>
      <c r="JL71" s="534" t="inlineStr">
        <is>
          <t>RIMAC SEGUROS</t>
        </is>
      </c>
      <c r="JM71" s="447" t="n"/>
      <c r="JN71" s="529" t="n">
        <v>1086478942</v>
      </c>
      <c r="JO71" s="518" t="n"/>
      <c r="JP71" s="519" t="n"/>
      <c r="JQ71" s="519" t="n">
        <v>45341</v>
      </c>
      <c r="JT71" s="137" t="n">
        <v>218.95</v>
      </c>
      <c r="JU71" s="30" t="n"/>
      <c r="JV71" s="451" t="n"/>
      <c r="JW71" s="34" t="n"/>
      <c r="JX71" s="30" t="n"/>
      <c r="JY71" s="138">
        <f>+JU71-JW71-JY71</f>
        <v/>
      </c>
      <c r="JZ71" s="533" t="n"/>
      <c r="KA71" s="515" t="inlineStr">
        <is>
          <t>SEGUROS</t>
        </is>
      </c>
      <c r="KB71" s="534" t="inlineStr">
        <is>
          <t>RIMAC SEGUROS</t>
        </is>
      </c>
      <c r="KC71" s="447" t="n"/>
      <c r="KD71" s="529" t="n">
        <v>1086478942</v>
      </c>
      <c r="KE71" s="518" t="n"/>
      <c r="KF71" s="519" t="n"/>
      <c r="KG71" s="519" t="n">
        <v>45341</v>
      </c>
      <c r="KJ71" s="137" t="n">
        <v>218.95</v>
      </c>
      <c r="KK71" s="30" t="n"/>
      <c r="KL71" s="451" t="n"/>
      <c r="KM71" s="34" t="n"/>
      <c r="KN71" s="30" t="n"/>
      <c r="KO71" s="138">
        <f>+KK71-KM71-KO71</f>
        <v/>
      </c>
      <c r="KP71" s="533" t="n"/>
      <c r="KQ71" s="515" t="inlineStr">
        <is>
          <t>SEGUROS</t>
        </is>
      </c>
      <c r="KR71" s="534" t="inlineStr">
        <is>
          <t>RIMAC SEGUROS</t>
        </is>
      </c>
      <c r="KS71" s="447" t="n"/>
      <c r="KT71" s="529" t="n">
        <v>1086478942</v>
      </c>
      <c r="KU71" s="518" t="n"/>
      <c r="KV71" s="519" t="n"/>
      <c r="KW71" s="519" t="n">
        <v>45341</v>
      </c>
      <c r="KZ71" s="137" t="n">
        <v>218.95</v>
      </c>
      <c r="LA71" s="30" t="n"/>
      <c r="LB71" s="451" t="n"/>
      <c r="LC71" s="34" t="n"/>
      <c r="LD71" s="30" t="n"/>
      <c r="LE71" s="138">
        <f>+LA71-LC71-LE71</f>
        <v/>
      </c>
      <c r="LF71" s="533" t="n"/>
      <c r="LG71" s="515" t="inlineStr">
        <is>
          <t>SEGUROS</t>
        </is>
      </c>
      <c r="LH71" s="534" t="inlineStr">
        <is>
          <t>RIMAC SEGUROS</t>
        </is>
      </c>
      <c r="LI71" s="447" t="n"/>
      <c r="LJ71" s="529" t="n">
        <v>1086478942</v>
      </c>
      <c r="LK71" s="518" t="n"/>
      <c r="LL71" s="519" t="n"/>
      <c r="LM71" s="519" t="n">
        <v>45341</v>
      </c>
      <c r="LP71" s="137" t="n">
        <v>218.95</v>
      </c>
      <c r="LQ71" s="30" t="n"/>
      <c r="LR71" s="451" t="n"/>
      <c r="LS71" s="34" t="n"/>
      <c r="LT71" s="30" t="n"/>
      <c r="LU71" s="138">
        <f>+LQ71-LS71-LU71</f>
        <v/>
      </c>
      <c r="LV71" s="533" t="n"/>
      <c r="LW71" s="515" t="inlineStr">
        <is>
          <t>SEGUROS</t>
        </is>
      </c>
      <c r="LX71" s="534" t="inlineStr">
        <is>
          <t>RIMAC SEGUROS</t>
        </is>
      </c>
      <c r="LY71" s="447" t="n"/>
      <c r="LZ71" s="529" t="n">
        <v>1086478942</v>
      </c>
      <c r="MA71" s="518" t="n"/>
      <c r="MB71" s="519" t="n"/>
      <c r="MC71" s="519" t="n">
        <v>45341</v>
      </c>
      <c r="MF71" s="137" t="n">
        <v>218.95</v>
      </c>
      <c r="MG71" s="30" t="n"/>
      <c r="MH71" s="451" t="n"/>
      <c r="MI71" s="34" t="n"/>
      <c r="MJ71" s="30" t="n"/>
      <c r="MK71" s="138">
        <f>+MG71-MI71-MK71</f>
        <v/>
      </c>
      <c r="ML71" s="533" t="n"/>
      <c r="MM71" s="515" t="inlineStr">
        <is>
          <t>SEGUROS</t>
        </is>
      </c>
      <c r="MN71" s="534" t="inlineStr">
        <is>
          <t>RIMAC SEGUROS</t>
        </is>
      </c>
      <c r="MO71" s="447" t="n"/>
      <c r="MP71" s="529" t="n">
        <v>1086478942</v>
      </c>
      <c r="MQ71" s="518" t="n"/>
      <c r="MR71" s="519" t="n"/>
      <c r="MS71" s="519" t="n">
        <v>45341</v>
      </c>
      <c r="MV71" s="137" t="n">
        <v>218.95</v>
      </c>
      <c r="MW71" s="30" t="n"/>
      <c r="MX71" s="451" t="n"/>
      <c r="MY71" s="34" t="n"/>
      <c r="MZ71" s="30" t="n"/>
      <c r="NA71" s="138">
        <f>+MW71-MY71-NA71</f>
        <v/>
      </c>
      <c r="NB71" s="533" t="n"/>
      <c r="NC71" s="515" t="inlineStr">
        <is>
          <t>SEGUROS</t>
        </is>
      </c>
      <c r="ND71" s="534" t="inlineStr">
        <is>
          <t>RIMAC SEGUROS</t>
        </is>
      </c>
      <c r="NE71" s="447" t="n"/>
      <c r="NF71" s="529" t="n">
        <v>1086478942</v>
      </c>
      <c r="NG71" s="518" t="n"/>
      <c r="NH71" s="519" t="n"/>
      <c r="NI71" s="519" t="n">
        <v>45341</v>
      </c>
      <c r="NL71" s="137" t="n">
        <v>218.95</v>
      </c>
      <c r="NM71" s="30" t="n"/>
      <c r="NN71" s="451" t="n"/>
      <c r="NO71" s="34" t="n"/>
      <c r="NP71" s="30" t="n"/>
      <c r="NQ71" s="138">
        <f>+NM71-NO71-NQ71</f>
        <v/>
      </c>
      <c r="NR71" s="533" t="n"/>
      <c r="NS71" s="515" t="inlineStr">
        <is>
          <t>SEGUROS</t>
        </is>
      </c>
      <c r="NT71" s="534" t="inlineStr">
        <is>
          <t>RIMAC SEGUROS</t>
        </is>
      </c>
      <c r="NU71" s="447" t="n"/>
      <c r="NV71" s="529" t="n">
        <v>1086478942</v>
      </c>
      <c r="NW71" s="518" t="n"/>
      <c r="NX71" s="519" t="n"/>
      <c r="NY71" s="519" t="n">
        <v>45341</v>
      </c>
      <c r="OB71" s="137" t="n">
        <v>218.95</v>
      </c>
      <c r="OC71" s="30" t="n"/>
      <c r="OD71" s="451" t="n"/>
      <c r="OE71" s="34" t="n"/>
      <c r="OF71" s="30" t="n"/>
      <c r="OG71" s="138">
        <f>+OC71-OE71-OG71</f>
        <v/>
      </c>
      <c r="OH71" s="533" t="n"/>
      <c r="OI71" s="515" t="inlineStr">
        <is>
          <t>SEGUROS</t>
        </is>
      </c>
      <c r="OJ71" s="534" t="inlineStr">
        <is>
          <t>RIMAC SEGUROS</t>
        </is>
      </c>
      <c r="OK71" s="447" t="n"/>
      <c r="OL71" s="529" t="n">
        <v>1086478942</v>
      </c>
      <c r="OM71" s="518" t="n"/>
      <c r="ON71" s="519" t="n"/>
      <c r="OO71" s="519" t="n">
        <v>45341</v>
      </c>
      <c r="OR71" s="137" t="n">
        <v>218.95</v>
      </c>
      <c r="OS71" s="30" t="n"/>
      <c r="OT71" s="451" t="n"/>
      <c r="OU71" s="34" t="n"/>
      <c r="OV71" s="30" t="n"/>
      <c r="OW71" s="138">
        <f>+OS71-OU71-OW71</f>
        <v/>
      </c>
      <c r="OX71" s="533" t="n"/>
      <c r="OY71" s="515" t="inlineStr">
        <is>
          <t>SEGUROS</t>
        </is>
      </c>
      <c r="OZ71" s="534" t="inlineStr">
        <is>
          <t>RIMAC SEGUROS</t>
        </is>
      </c>
      <c r="PA71" s="447" t="n"/>
      <c r="PB71" s="529" t="n">
        <v>1086478942</v>
      </c>
      <c r="PC71" s="518" t="n"/>
      <c r="PD71" s="519" t="n"/>
      <c r="PE71" s="519" t="n">
        <v>45341</v>
      </c>
      <c r="PH71" s="137" t="n">
        <v>218.95</v>
      </c>
      <c r="PI71" s="30" t="n"/>
      <c r="PJ71" s="451" t="n"/>
      <c r="PK71" s="34" t="n"/>
      <c r="PL71" s="30" t="n"/>
      <c r="PM71" s="138">
        <f>+PI71-PK71-PM71</f>
        <v/>
      </c>
      <c r="PN71" s="533" t="n"/>
      <c r="PO71" s="515" t="inlineStr">
        <is>
          <t>SEGUROS</t>
        </is>
      </c>
      <c r="PP71" s="534" t="inlineStr">
        <is>
          <t>RIMAC SEGUROS</t>
        </is>
      </c>
      <c r="PQ71" s="447" t="n"/>
      <c r="PR71" s="529" t="n">
        <v>1086478942</v>
      </c>
      <c r="PS71" s="518" t="n"/>
      <c r="PT71" s="519" t="n"/>
      <c r="PU71" s="519" t="n">
        <v>45341</v>
      </c>
      <c r="PX71" s="137" t="n">
        <v>218.95</v>
      </c>
      <c r="PY71" s="30" t="n"/>
      <c r="PZ71" s="451" t="n"/>
      <c r="QA71" s="34" t="n"/>
      <c r="QB71" s="30" t="n"/>
      <c r="QC71" s="138">
        <f>+PY71-QA71-QC71</f>
        <v/>
      </c>
      <c r="QD71" s="533" t="n"/>
      <c r="QE71" s="515" t="inlineStr">
        <is>
          <t>SEGUROS</t>
        </is>
      </c>
      <c r="QF71" s="534" t="inlineStr">
        <is>
          <t>RIMAC SEGUROS</t>
        </is>
      </c>
      <c r="QG71" s="447" t="n"/>
      <c r="QH71" s="529" t="n">
        <v>1086478942</v>
      </c>
      <c r="QI71" s="518" t="n"/>
      <c r="QJ71" s="519" t="n"/>
      <c r="QK71" s="519" t="n">
        <v>45341</v>
      </c>
      <c r="QN71" s="137" t="n">
        <v>218.95</v>
      </c>
      <c r="QO71" s="30" t="n"/>
      <c r="QP71" s="451" t="n"/>
      <c r="QQ71" s="34" t="n"/>
      <c r="QR71" s="30" t="n"/>
      <c r="QS71" s="138">
        <f>+QO71-QQ71-QS71</f>
        <v/>
      </c>
      <c r="QT71" s="533" t="n"/>
      <c r="QU71" s="515" t="inlineStr">
        <is>
          <t>SEGUROS</t>
        </is>
      </c>
      <c r="QV71" s="534" t="inlineStr">
        <is>
          <t>RIMAC SEGUROS</t>
        </is>
      </c>
      <c r="QW71" s="447" t="n"/>
      <c r="QX71" s="529" t="n">
        <v>1086478942</v>
      </c>
      <c r="QY71" s="518" t="n"/>
      <c r="QZ71" s="519" t="n"/>
      <c r="RA71" s="519" t="n">
        <v>45341</v>
      </c>
      <c r="RD71" s="137" t="n">
        <v>218.95</v>
      </c>
      <c r="RE71" s="30" t="n"/>
      <c r="RF71" s="451" t="n"/>
      <c r="RG71" s="34" t="n"/>
      <c r="RH71" s="30" t="n"/>
      <c r="RI71" s="138">
        <f>+RE71-RG71-RI71</f>
        <v/>
      </c>
      <c r="RJ71" s="533" t="n"/>
      <c r="RK71" s="515" t="inlineStr">
        <is>
          <t>SEGUROS</t>
        </is>
      </c>
      <c r="RL71" s="534" t="inlineStr">
        <is>
          <t>RIMAC SEGUROS</t>
        </is>
      </c>
      <c r="RM71" s="447" t="n"/>
      <c r="RN71" s="529" t="n">
        <v>1086478942</v>
      </c>
      <c r="RO71" s="518" t="n"/>
      <c r="RP71" s="519" t="n"/>
      <c r="RQ71" s="519" t="n">
        <v>45341</v>
      </c>
      <c r="RT71" s="137" t="n">
        <v>218.95</v>
      </c>
      <c r="RU71" s="30" t="n"/>
      <c r="RV71" s="451" t="n"/>
      <c r="RW71" s="34" t="n"/>
      <c r="RX71" s="30" t="n"/>
      <c r="RY71" s="138">
        <f>+RU71-RW71-RY71</f>
        <v/>
      </c>
      <c r="RZ71" s="533" t="n"/>
      <c r="SA71" s="515" t="inlineStr">
        <is>
          <t>SEGUROS</t>
        </is>
      </c>
      <c r="SB71" s="534" t="inlineStr">
        <is>
          <t>RIMAC SEGUROS</t>
        </is>
      </c>
      <c r="SC71" s="447" t="n"/>
      <c r="SD71" s="529" t="n">
        <v>1086478942</v>
      </c>
      <c r="SE71" s="518" t="n"/>
      <c r="SF71" s="519" t="n"/>
      <c r="SG71" s="519" t="n">
        <v>45341</v>
      </c>
      <c r="SJ71" s="137" t="n">
        <v>218.95</v>
      </c>
      <c r="SK71" s="30" t="n"/>
      <c r="SL71" s="451" t="n"/>
      <c r="SM71" s="34" t="n"/>
      <c r="SN71" s="30" t="n"/>
      <c r="SO71" s="138">
        <f>+SK71-SM71-SO71</f>
        <v/>
      </c>
      <c r="SP71" s="533" t="n"/>
      <c r="SQ71" s="515" t="inlineStr">
        <is>
          <t>SEGUROS</t>
        </is>
      </c>
      <c r="SR71" s="534" t="inlineStr">
        <is>
          <t>RIMAC SEGUROS</t>
        </is>
      </c>
      <c r="SS71" s="447" t="n"/>
      <c r="ST71" s="529" t="n">
        <v>1086478942</v>
      </c>
      <c r="SU71" s="518" t="n"/>
      <c r="SV71" s="519" t="n"/>
      <c r="SW71" s="519" t="n">
        <v>45341</v>
      </c>
      <c r="SZ71" s="137" t="n">
        <v>218.95</v>
      </c>
      <c r="TA71" s="30" t="n"/>
      <c r="TB71" s="451" t="n"/>
      <c r="TC71" s="34" t="n"/>
      <c r="TD71" s="30" t="n"/>
      <c r="TE71" s="138">
        <f>+TA71-TC71-TE71</f>
        <v/>
      </c>
      <c r="TF71" s="533" t="n"/>
      <c r="TG71" s="515" t="inlineStr">
        <is>
          <t>SEGUROS</t>
        </is>
      </c>
      <c r="TH71" s="534" t="inlineStr">
        <is>
          <t>RIMAC SEGUROS</t>
        </is>
      </c>
      <c r="TI71" s="447" t="n"/>
      <c r="TJ71" s="529" t="n">
        <v>1086478942</v>
      </c>
      <c r="TK71" s="518" t="n"/>
      <c r="TL71" s="519" t="n"/>
      <c r="TM71" s="519" t="n">
        <v>45341</v>
      </c>
      <c r="TP71" s="137" t="n">
        <v>218.95</v>
      </c>
      <c r="TQ71" s="30" t="n"/>
      <c r="TR71" s="451" t="n"/>
      <c r="TS71" s="34" t="n"/>
      <c r="TT71" s="30" t="n"/>
      <c r="TU71" s="138">
        <f>+TQ71-TS71-TU71</f>
        <v/>
      </c>
      <c r="TV71" s="533" t="n"/>
      <c r="TW71" s="515" t="inlineStr">
        <is>
          <t>SEGUROS</t>
        </is>
      </c>
      <c r="TX71" s="534" t="inlineStr">
        <is>
          <t>RIMAC SEGUROS</t>
        </is>
      </c>
      <c r="TY71" s="447" t="n"/>
      <c r="TZ71" s="529" t="n">
        <v>1086478942</v>
      </c>
      <c r="UA71" s="518" t="n"/>
      <c r="UB71" s="519" t="n"/>
      <c r="UC71" s="519" t="n">
        <v>45341</v>
      </c>
      <c r="UF71" s="137" t="n">
        <v>218.95</v>
      </c>
      <c r="UG71" s="30" t="n"/>
      <c r="UH71" s="451" t="n"/>
      <c r="UI71" s="34" t="n"/>
      <c r="UJ71" s="30" t="n"/>
      <c r="UK71" s="138">
        <f>+UG71-UI71-UK71</f>
        <v/>
      </c>
      <c r="UL71" s="533" t="n"/>
      <c r="UM71" s="515" t="inlineStr">
        <is>
          <t>SEGUROS</t>
        </is>
      </c>
      <c r="UN71" s="534" t="inlineStr">
        <is>
          <t>RIMAC SEGUROS</t>
        </is>
      </c>
      <c r="UO71" s="447" t="n"/>
      <c r="UP71" s="529" t="n">
        <v>1086478942</v>
      </c>
      <c r="UQ71" s="518" t="n"/>
      <c r="UR71" s="519" t="n"/>
      <c r="US71" s="519" t="n">
        <v>45341</v>
      </c>
      <c r="UV71" s="137" t="n">
        <v>218.95</v>
      </c>
      <c r="UW71" s="30" t="n"/>
      <c r="UX71" s="451" t="n"/>
      <c r="UY71" s="34" t="n"/>
      <c r="UZ71" s="30" t="n"/>
      <c r="VA71" s="138">
        <f>+UW71-UY71-VA71</f>
        <v/>
      </c>
      <c r="VB71" s="533" t="n"/>
      <c r="VC71" s="515" t="inlineStr">
        <is>
          <t>SEGUROS</t>
        </is>
      </c>
      <c r="VD71" s="534" t="inlineStr">
        <is>
          <t>RIMAC SEGUROS</t>
        </is>
      </c>
      <c r="VE71" s="447" t="n"/>
      <c r="VF71" s="529" t="n">
        <v>1086478942</v>
      </c>
      <c r="VG71" s="518" t="n"/>
      <c r="VH71" s="519" t="n"/>
      <c r="VI71" s="519" t="n">
        <v>45341</v>
      </c>
      <c r="VL71" s="137" t="n">
        <v>218.95</v>
      </c>
      <c r="VM71" s="30" t="n"/>
      <c r="VN71" s="451" t="n"/>
      <c r="VO71" s="34" t="n"/>
      <c r="VP71" s="30" t="n"/>
      <c r="VQ71" s="138">
        <f>+VM71-VO71-VQ71</f>
        <v/>
      </c>
      <c r="VR71" s="533" t="n"/>
      <c r="VS71" s="515" t="inlineStr">
        <is>
          <t>SEGUROS</t>
        </is>
      </c>
      <c r="VT71" s="534" t="inlineStr">
        <is>
          <t>RIMAC SEGUROS</t>
        </is>
      </c>
      <c r="VU71" s="447" t="n"/>
      <c r="VV71" s="529" t="n">
        <v>1086478942</v>
      </c>
      <c r="VW71" s="518" t="n"/>
      <c r="VX71" s="519" t="n"/>
      <c r="VY71" s="519" t="n">
        <v>45341</v>
      </c>
      <c r="WB71" s="137" t="n">
        <v>218.95</v>
      </c>
      <c r="WC71" s="30" t="n"/>
      <c r="WD71" s="451" t="n"/>
      <c r="WE71" s="34" t="n"/>
      <c r="WF71" s="30" t="n"/>
      <c r="WG71" s="138">
        <f>+WC71-WE71-WG71</f>
        <v/>
      </c>
      <c r="WH71" s="533" t="n"/>
      <c r="WI71" s="515" t="inlineStr">
        <is>
          <t>SEGUROS</t>
        </is>
      </c>
      <c r="WJ71" s="534" t="inlineStr">
        <is>
          <t>RIMAC SEGUROS</t>
        </is>
      </c>
      <c r="WK71" s="447" t="n"/>
      <c r="WL71" s="529" t="n">
        <v>1086478942</v>
      </c>
      <c r="WM71" s="518" t="n"/>
      <c r="WN71" s="519" t="n"/>
      <c r="WO71" s="519" t="n">
        <v>45341</v>
      </c>
      <c r="WR71" s="137" t="n">
        <v>218.95</v>
      </c>
      <c r="WS71" s="30" t="n"/>
      <c r="WT71" s="451" t="n"/>
      <c r="WU71" s="34" t="n"/>
      <c r="WV71" s="30" t="n"/>
      <c r="WW71" s="138">
        <f>+WS71-WU71-WW71</f>
        <v/>
      </c>
      <c r="WX71" s="533" t="n"/>
      <c r="WY71" s="515" t="inlineStr">
        <is>
          <t>SEGUROS</t>
        </is>
      </c>
      <c r="WZ71" s="534" t="inlineStr">
        <is>
          <t>RIMAC SEGUROS</t>
        </is>
      </c>
      <c r="XA71" s="447" t="n"/>
      <c r="XB71" s="529" t="n">
        <v>1086478942</v>
      </c>
      <c r="XC71" s="518" t="n"/>
      <c r="XD71" s="519" t="n"/>
      <c r="XE71" s="519" t="n">
        <v>45341</v>
      </c>
      <c r="XH71" s="137" t="n">
        <v>218.95</v>
      </c>
      <c r="XI71" s="30" t="n"/>
      <c r="XJ71" s="451" t="n"/>
      <c r="XK71" s="34" t="n"/>
      <c r="XL71" s="30" t="n"/>
      <c r="XM71" s="138">
        <f>+XI71-XK71-XM71</f>
        <v/>
      </c>
      <c r="XN71" s="533" t="n"/>
      <c r="XO71" s="515" t="inlineStr">
        <is>
          <t>SEGUROS</t>
        </is>
      </c>
      <c r="XP71" s="534" t="inlineStr">
        <is>
          <t>RIMAC SEGUROS</t>
        </is>
      </c>
      <c r="XQ71" s="447" t="n"/>
      <c r="XR71" s="529" t="n">
        <v>1086478942</v>
      </c>
      <c r="XS71" s="518" t="n"/>
      <c r="XT71" s="519" t="n"/>
      <c r="XU71" s="519" t="n">
        <v>45341</v>
      </c>
      <c r="XX71" s="137" t="n">
        <v>218.95</v>
      </c>
      <c r="XY71" s="30" t="n"/>
      <c r="XZ71" s="451" t="n"/>
      <c r="YA71" s="34" t="n"/>
      <c r="YB71" s="30" t="n"/>
      <c r="YC71" s="138">
        <f>+XY71-YA71-YC71</f>
        <v/>
      </c>
      <c r="YD71" s="533" t="n"/>
      <c r="YE71" s="515" t="inlineStr">
        <is>
          <t>SEGUROS</t>
        </is>
      </c>
      <c r="YF71" s="534" t="inlineStr">
        <is>
          <t>RIMAC SEGUROS</t>
        </is>
      </c>
      <c r="YG71" s="447" t="n"/>
      <c r="YH71" s="529" t="n">
        <v>1086478942</v>
      </c>
      <c r="YI71" s="518" t="n"/>
      <c r="YJ71" s="519" t="n"/>
      <c r="YK71" s="519" t="n">
        <v>45341</v>
      </c>
      <c r="YN71" s="137" t="n">
        <v>218.95</v>
      </c>
      <c r="YO71" s="30" t="n"/>
      <c r="YP71" s="451" t="n"/>
      <c r="YQ71" s="34" t="n"/>
      <c r="YR71" s="30" t="n"/>
      <c r="YS71" s="138">
        <f>+YO71-YQ71-YS71</f>
        <v/>
      </c>
      <c r="YT71" s="533" t="n"/>
      <c r="YU71" s="515" t="inlineStr">
        <is>
          <t>SEGUROS</t>
        </is>
      </c>
      <c r="YV71" s="534" t="inlineStr">
        <is>
          <t>RIMAC SEGUROS</t>
        </is>
      </c>
      <c r="YW71" s="447" t="n"/>
      <c r="YX71" s="529" t="n">
        <v>1086478942</v>
      </c>
      <c r="YY71" s="518" t="n"/>
      <c r="YZ71" s="519" t="n"/>
      <c r="ZA71" s="519" t="n">
        <v>45341</v>
      </c>
      <c r="ZD71" s="137" t="n">
        <v>218.95</v>
      </c>
      <c r="ZE71" s="30" t="n"/>
      <c r="ZF71" s="451" t="n"/>
      <c r="ZG71" s="34" t="n"/>
      <c r="ZH71" s="30" t="n"/>
      <c r="ZI71" s="138">
        <f>+ZE71-ZG71-ZI71</f>
        <v/>
      </c>
      <c r="ZJ71" s="533" t="n"/>
      <c r="ZK71" s="515" t="inlineStr">
        <is>
          <t>SEGUROS</t>
        </is>
      </c>
      <c r="ZL71" s="534" t="inlineStr">
        <is>
          <t>RIMAC SEGUROS</t>
        </is>
      </c>
      <c r="ZM71" s="447" t="n"/>
      <c r="ZN71" s="529" t="n">
        <v>1086478942</v>
      </c>
      <c r="ZO71" s="518" t="n"/>
      <c r="ZP71" s="519" t="n"/>
      <c r="ZQ71" s="519" t="n">
        <v>45341</v>
      </c>
      <c r="ZT71" s="137" t="n">
        <v>218.95</v>
      </c>
      <c r="ZU71" s="30" t="n"/>
      <c r="ZV71" s="451" t="n"/>
      <c r="ZW71" s="34" t="n"/>
      <c r="ZX71" s="30" t="n"/>
      <c r="ZY71" s="138">
        <f>+ZU71-ZW71-ZY71</f>
        <v/>
      </c>
      <c r="ZZ71" s="533" t="n"/>
      <c r="AAA71" s="515" t="inlineStr">
        <is>
          <t>SEGUROS</t>
        </is>
      </c>
      <c r="AAB71" s="534" t="inlineStr">
        <is>
          <t>RIMAC SEGUROS</t>
        </is>
      </c>
      <c r="AAC71" s="447" t="n"/>
      <c r="AAD71" s="529" t="n">
        <v>1086478942</v>
      </c>
      <c r="AAE71" s="518" t="n"/>
      <c r="AAF71" s="519" t="n"/>
      <c r="AAG71" s="519" t="n">
        <v>45341</v>
      </c>
      <c r="AAJ71" s="137" t="n">
        <v>218.95</v>
      </c>
      <c r="AAK71" s="30" t="n"/>
      <c r="AAL71" s="451" t="n"/>
      <c r="AAM71" s="34" t="n"/>
      <c r="AAN71" s="30" t="n"/>
      <c r="AAO71" s="138">
        <f>+AAK71-AAM71-AAO71</f>
        <v/>
      </c>
      <c r="AAP71" s="533" t="n"/>
      <c r="AAQ71" s="515" t="inlineStr">
        <is>
          <t>SEGUROS</t>
        </is>
      </c>
      <c r="AAR71" s="534" t="inlineStr">
        <is>
          <t>RIMAC SEGUROS</t>
        </is>
      </c>
      <c r="AAS71" s="447" t="n"/>
      <c r="AAT71" s="529" t="n">
        <v>1086478942</v>
      </c>
      <c r="AAU71" s="518" t="n"/>
      <c r="AAV71" s="519" t="n"/>
      <c r="AAW71" s="519" t="n">
        <v>45341</v>
      </c>
      <c r="AAZ71" s="137" t="n">
        <v>218.95</v>
      </c>
      <c r="ABA71" s="30" t="n"/>
      <c r="ABB71" s="451" t="n"/>
      <c r="ABC71" s="34" t="n"/>
      <c r="ABD71" s="30" t="n"/>
      <c r="ABE71" s="138">
        <f>+ABA71-ABC71-ABE71</f>
        <v/>
      </c>
      <c r="ABF71" s="533" t="n"/>
      <c r="ABG71" s="515" t="inlineStr">
        <is>
          <t>SEGUROS</t>
        </is>
      </c>
      <c r="ABH71" s="534" t="inlineStr">
        <is>
          <t>RIMAC SEGUROS</t>
        </is>
      </c>
      <c r="ABI71" s="447" t="n"/>
      <c r="ABJ71" s="529" t="n">
        <v>1086478942</v>
      </c>
      <c r="ABK71" s="518" t="n"/>
      <c r="ABL71" s="519" t="n"/>
      <c r="ABM71" s="519" t="n">
        <v>45341</v>
      </c>
      <c r="ABP71" s="137" t="n">
        <v>218.95</v>
      </c>
      <c r="ABQ71" s="30" t="n"/>
      <c r="ABR71" s="451" t="n"/>
      <c r="ABS71" s="34" t="n"/>
      <c r="ABT71" s="30" t="n"/>
      <c r="ABU71" s="138">
        <f>+ABQ71-ABS71-ABU71</f>
        <v/>
      </c>
      <c r="ABV71" s="533" t="n"/>
      <c r="ABW71" s="515" t="inlineStr">
        <is>
          <t>SEGUROS</t>
        </is>
      </c>
      <c r="ABX71" s="534" t="inlineStr">
        <is>
          <t>RIMAC SEGUROS</t>
        </is>
      </c>
      <c r="ABY71" s="447" t="n"/>
      <c r="ABZ71" s="529" t="n">
        <v>1086478942</v>
      </c>
      <c r="ACA71" s="518" t="n"/>
      <c r="ACB71" s="519" t="n"/>
      <c r="ACC71" s="519" t="n">
        <v>45341</v>
      </c>
      <c r="ACF71" s="137" t="n">
        <v>218.95</v>
      </c>
      <c r="ACG71" s="30" t="n"/>
      <c r="ACH71" s="451" t="n"/>
      <c r="ACI71" s="34" t="n"/>
      <c r="ACJ71" s="30" t="n"/>
      <c r="ACK71" s="138">
        <f>+ACG71-ACI71-ACK71</f>
        <v/>
      </c>
      <c r="ACL71" s="533" t="n"/>
      <c r="ACM71" s="515" t="inlineStr">
        <is>
          <t>SEGUROS</t>
        </is>
      </c>
      <c r="ACN71" s="534" t="inlineStr">
        <is>
          <t>RIMAC SEGUROS</t>
        </is>
      </c>
      <c r="ACO71" s="447" t="n"/>
      <c r="ACP71" s="529" t="n">
        <v>1086478942</v>
      </c>
      <c r="ACQ71" s="518" t="n"/>
      <c r="ACR71" s="519" t="n"/>
      <c r="ACS71" s="519" t="n">
        <v>45341</v>
      </c>
      <c r="ACV71" s="137" t="n">
        <v>218.95</v>
      </c>
      <c r="ACW71" s="30" t="n"/>
      <c r="ACX71" s="451" t="n"/>
      <c r="ACY71" s="34" t="n"/>
      <c r="ACZ71" s="30" t="n"/>
      <c r="ADA71" s="138">
        <f>+ACW71-ACY71-ADA71</f>
        <v/>
      </c>
      <c r="ADB71" s="533" t="n"/>
      <c r="ADC71" s="515" t="inlineStr">
        <is>
          <t>SEGUROS</t>
        </is>
      </c>
      <c r="ADD71" s="534" t="inlineStr">
        <is>
          <t>RIMAC SEGUROS</t>
        </is>
      </c>
      <c r="ADE71" s="447" t="n"/>
      <c r="ADF71" s="529" t="n">
        <v>1086478942</v>
      </c>
      <c r="ADG71" s="518" t="n"/>
      <c r="ADH71" s="519" t="n"/>
      <c r="ADI71" s="519" t="n">
        <v>45341</v>
      </c>
      <c r="ADL71" s="137" t="n">
        <v>218.95</v>
      </c>
      <c r="ADM71" s="30" t="n"/>
      <c r="ADN71" s="451" t="n"/>
      <c r="ADO71" s="34" t="n"/>
      <c r="ADP71" s="30" t="n"/>
      <c r="ADQ71" s="138">
        <f>+ADM71-ADO71-ADQ71</f>
        <v/>
      </c>
      <c r="ADR71" s="533" t="n"/>
      <c r="ADS71" s="515" t="inlineStr">
        <is>
          <t>SEGUROS</t>
        </is>
      </c>
      <c r="ADT71" s="534" t="inlineStr">
        <is>
          <t>RIMAC SEGUROS</t>
        </is>
      </c>
      <c r="ADU71" s="447" t="n"/>
      <c r="ADV71" s="529" t="n">
        <v>1086478942</v>
      </c>
      <c r="ADW71" s="518" t="n"/>
      <c r="ADX71" s="519" t="n"/>
      <c r="ADY71" s="519" t="n">
        <v>45341</v>
      </c>
      <c r="AEB71" s="137" t="n">
        <v>218.95</v>
      </c>
      <c r="AEC71" s="30" t="n"/>
      <c r="AED71" s="451" t="n"/>
      <c r="AEE71" s="34" t="n"/>
      <c r="AEF71" s="30" t="n"/>
      <c r="AEG71" s="138">
        <f>+AEC71-AEE71-AEG71</f>
        <v/>
      </c>
      <c r="AEH71" s="533" t="n"/>
      <c r="AEI71" s="515" t="inlineStr">
        <is>
          <t>SEGUROS</t>
        </is>
      </c>
      <c r="AEJ71" s="534" t="inlineStr">
        <is>
          <t>RIMAC SEGUROS</t>
        </is>
      </c>
      <c r="AEK71" s="447" t="n"/>
      <c r="AEL71" s="529" t="n">
        <v>1086478942</v>
      </c>
      <c r="AEM71" s="518" t="n"/>
      <c r="AEN71" s="519" t="n"/>
      <c r="AEO71" s="519" t="n">
        <v>45341</v>
      </c>
      <c r="AER71" s="137" t="n">
        <v>218.95</v>
      </c>
      <c r="AES71" s="30" t="n"/>
      <c r="AET71" s="451" t="n"/>
      <c r="AEU71" s="34" t="n"/>
      <c r="AEV71" s="30" t="n"/>
      <c r="AEW71" s="138">
        <f>+AES71-AEU71-AEW71</f>
        <v/>
      </c>
      <c r="AEX71" s="533" t="n"/>
      <c r="AEY71" s="515" t="inlineStr">
        <is>
          <t>SEGUROS</t>
        </is>
      </c>
      <c r="AEZ71" s="534" t="inlineStr">
        <is>
          <t>RIMAC SEGUROS</t>
        </is>
      </c>
      <c r="AFA71" s="447" t="n"/>
      <c r="AFB71" s="529" t="n">
        <v>1086478942</v>
      </c>
      <c r="AFC71" s="518" t="n"/>
      <c r="AFD71" s="519" t="n"/>
      <c r="AFE71" s="519" t="n">
        <v>45341</v>
      </c>
      <c r="AFH71" s="137" t="n">
        <v>218.95</v>
      </c>
      <c r="AFI71" s="30" t="n"/>
      <c r="AFJ71" s="451" t="n"/>
      <c r="AFK71" s="34" t="n"/>
      <c r="AFL71" s="30" t="n"/>
      <c r="AFM71" s="138">
        <f>+AFI71-AFK71-AFM71</f>
        <v/>
      </c>
      <c r="AFN71" s="533" t="n"/>
      <c r="AFO71" s="515" t="inlineStr">
        <is>
          <t>SEGUROS</t>
        </is>
      </c>
      <c r="AFP71" s="534" t="inlineStr">
        <is>
          <t>RIMAC SEGUROS</t>
        </is>
      </c>
      <c r="AFQ71" s="447" t="n"/>
      <c r="AFR71" s="529" t="n">
        <v>1086478942</v>
      </c>
      <c r="AFS71" s="518" t="n"/>
      <c r="AFT71" s="519" t="n"/>
      <c r="AFU71" s="519" t="n">
        <v>45341</v>
      </c>
      <c r="AFX71" s="137" t="n">
        <v>218.95</v>
      </c>
      <c r="AFY71" s="30" t="n"/>
      <c r="AFZ71" s="451" t="n"/>
      <c r="AGA71" s="34" t="n"/>
      <c r="AGB71" s="30" t="n"/>
      <c r="AGC71" s="138">
        <f>+AFY71-AGA71-AGC71</f>
        <v/>
      </c>
      <c r="AGD71" s="533" t="n"/>
      <c r="AGE71" s="515" t="inlineStr">
        <is>
          <t>SEGUROS</t>
        </is>
      </c>
      <c r="AGF71" s="534" t="inlineStr">
        <is>
          <t>RIMAC SEGUROS</t>
        </is>
      </c>
      <c r="AGG71" s="447" t="n"/>
      <c r="AGH71" s="529" t="n">
        <v>1086478942</v>
      </c>
      <c r="AGI71" s="518" t="n"/>
      <c r="AGJ71" s="519" t="n"/>
      <c r="AGK71" s="519" t="n">
        <v>45341</v>
      </c>
      <c r="AGN71" s="137" t="n">
        <v>218.95</v>
      </c>
      <c r="AGO71" s="30" t="n"/>
      <c r="AGP71" s="451" t="n"/>
      <c r="AGQ71" s="34" t="n"/>
      <c r="AGR71" s="30" t="n"/>
      <c r="AGS71" s="138">
        <f>+AGO71-AGQ71-AGS71</f>
        <v/>
      </c>
      <c r="AGT71" s="533" t="n"/>
      <c r="AGU71" s="515" t="inlineStr">
        <is>
          <t>SEGUROS</t>
        </is>
      </c>
      <c r="AGV71" s="534" t="inlineStr">
        <is>
          <t>RIMAC SEGUROS</t>
        </is>
      </c>
      <c r="AGW71" s="447" t="n"/>
      <c r="AGX71" s="529" t="n">
        <v>1086478942</v>
      </c>
      <c r="AGY71" s="518" t="n"/>
      <c r="AGZ71" s="519" t="n"/>
      <c r="AHA71" s="519" t="n">
        <v>45341</v>
      </c>
      <c r="AHD71" s="137" t="n">
        <v>218.95</v>
      </c>
      <c r="AHE71" s="30" t="n"/>
      <c r="AHF71" s="451" t="n"/>
      <c r="AHG71" s="34" t="n"/>
      <c r="AHH71" s="30" t="n"/>
      <c r="AHI71" s="138">
        <f>+AHE71-AHG71-AHI71</f>
        <v/>
      </c>
      <c r="AHJ71" s="533" t="n"/>
      <c r="AHK71" s="515" t="inlineStr">
        <is>
          <t>SEGUROS</t>
        </is>
      </c>
      <c r="AHL71" s="534" t="inlineStr">
        <is>
          <t>RIMAC SEGUROS</t>
        </is>
      </c>
      <c r="AHM71" s="447" t="n"/>
      <c r="AHN71" s="529" t="n">
        <v>1086478942</v>
      </c>
      <c r="AHO71" s="518" t="n"/>
      <c r="AHP71" s="519" t="n"/>
      <c r="AHQ71" s="519" t="n">
        <v>45341</v>
      </c>
      <c r="AHT71" s="137" t="n">
        <v>218.95</v>
      </c>
      <c r="AHU71" s="30" t="n"/>
      <c r="AHV71" s="451" t="n"/>
      <c r="AHW71" s="34" t="n"/>
      <c r="AHX71" s="30" t="n"/>
      <c r="AHY71" s="138">
        <f>+AHU71-AHW71-AHY71</f>
        <v/>
      </c>
      <c r="AHZ71" s="533" t="n"/>
      <c r="AIA71" s="515" t="inlineStr">
        <is>
          <t>SEGUROS</t>
        </is>
      </c>
      <c r="AIB71" s="534" t="inlineStr">
        <is>
          <t>RIMAC SEGUROS</t>
        </is>
      </c>
      <c r="AIC71" s="447" t="n"/>
      <c r="AID71" s="529" t="n">
        <v>1086478942</v>
      </c>
      <c r="AIE71" s="518" t="n"/>
      <c r="AIF71" s="519" t="n"/>
      <c r="AIG71" s="519" t="n">
        <v>45341</v>
      </c>
      <c r="AIJ71" s="137" t="n">
        <v>218.95</v>
      </c>
      <c r="AIK71" s="30" t="n"/>
      <c r="AIL71" s="451" t="n"/>
      <c r="AIM71" s="34" t="n"/>
      <c r="AIN71" s="30" t="n"/>
      <c r="AIO71" s="138">
        <f>+AIK71-AIM71-AIO71</f>
        <v/>
      </c>
      <c r="AIP71" s="533" t="n"/>
      <c r="AIQ71" s="515" t="inlineStr">
        <is>
          <t>SEGUROS</t>
        </is>
      </c>
      <c r="AIR71" s="534" t="inlineStr">
        <is>
          <t>RIMAC SEGUROS</t>
        </is>
      </c>
      <c r="AIS71" s="447" t="n"/>
      <c r="AIT71" s="529" t="n">
        <v>1086478942</v>
      </c>
      <c r="AIU71" s="518" t="n"/>
      <c r="AIV71" s="519" t="n"/>
      <c r="AIW71" s="519" t="n">
        <v>45341</v>
      </c>
      <c r="AIZ71" s="137" t="n">
        <v>218.95</v>
      </c>
      <c r="AJA71" s="30" t="n"/>
      <c r="AJB71" s="451" t="n"/>
      <c r="AJC71" s="34" t="n"/>
      <c r="AJD71" s="30" t="n"/>
      <c r="AJE71" s="138">
        <f>+AJA71-AJC71-AJE71</f>
        <v/>
      </c>
      <c r="AJF71" s="533" t="n"/>
      <c r="AJG71" s="515" t="inlineStr">
        <is>
          <t>SEGUROS</t>
        </is>
      </c>
      <c r="AJH71" s="534" t="inlineStr">
        <is>
          <t>RIMAC SEGUROS</t>
        </is>
      </c>
      <c r="AJI71" s="447" t="n"/>
      <c r="AJJ71" s="529" t="n">
        <v>1086478942</v>
      </c>
      <c r="AJK71" s="518" t="n"/>
      <c r="AJL71" s="519" t="n"/>
      <c r="AJM71" s="519" t="n">
        <v>45341</v>
      </c>
      <c r="AJP71" s="137" t="n">
        <v>218.95</v>
      </c>
      <c r="AJQ71" s="30" t="n"/>
      <c r="AJR71" s="451" t="n"/>
      <c r="AJS71" s="34" t="n"/>
      <c r="AJT71" s="30" t="n"/>
      <c r="AJU71" s="138">
        <f>+AJQ71-AJS71-AJU71</f>
        <v/>
      </c>
      <c r="AJV71" s="533" t="n"/>
      <c r="AJW71" s="515" t="inlineStr">
        <is>
          <t>SEGUROS</t>
        </is>
      </c>
      <c r="AJX71" s="534" t="inlineStr">
        <is>
          <t>RIMAC SEGUROS</t>
        </is>
      </c>
      <c r="AJY71" s="447" t="n"/>
      <c r="AJZ71" s="529" t="n">
        <v>1086478942</v>
      </c>
      <c r="AKA71" s="518" t="n"/>
      <c r="AKB71" s="519" t="n"/>
      <c r="AKC71" s="519" t="n">
        <v>45341</v>
      </c>
      <c r="AKF71" s="137" t="n">
        <v>218.95</v>
      </c>
      <c r="AKG71" s="30" t="n"/>
      <c r="AKH71" s="451" t="n"/>
      <c r="AKI71" s="34" t="n"/>
      <c r="AKJ71" s="30" t="n"/>
      <c r="AKK71" s="138">
        <f>+AKG71-AKI71-AKK71</f>
        <v/>
      </c>
      <c r="AKL71" s="533" t="n"/>
      <c r="AKM71" s="515" t="inlineStr">
        <is>
          <t>SEGUROS</t>
        </is>
      </c>
      <c r="AKN71" s="534" t="inlineStr">
        <is>
          <t>RIMAC SEGUROS</t>
        </is>
      </c>
      <c r="AKO71" s="447" t="n"/>
      <c r="AKP71" s="529" t="n">
        <v>1086478942</v>
      </c>
      <c r="AKQ71" s="518" t="n"/>
      <c r="AKR71" s="519" t="n"/>
      <c r="AKS71" s="519" t="n">
        <v>45341</v>
      </c>
      <c r="AKV71" s="137" t="n">
        <v>218.95</v>
      </c>
      <c r="AKW71" s="30" t="n"/>
      <c r="AKX71" s="451" t="n"/>
      <c r="AKY71" s="34" t="n"/>
      <c r="AKZ71" s="30" t="n"/>
      <c r="ALA71" s="138">
        <f>+AKW71-AKY71-ALA71</f>
        <v/>
      </c>
      <c r="ALB71" s="533" t="n"/>
      <c r="ALC71" s="515" t="inlineStr">
        <is>
          <t>SEGUROS</t>
        </is>
      </c>
      <c r="ALD71" s="534" t="inlineStr">
        <is>
          <t>RIMAC SEGUROS</t>
        </is>
      </c>
      <c r="ALE71" s="447" t="n"/>
      <c r="ALF71" s="529" t="n">
        <v>1086478942</v>
      </c>
      <c r="ALG71" s="518" t="n"/>
      <c r="ALH71" s="519" t="n"/>
      <c r="ALI71" s="519" t="n">
        <v>45341</v>
      </c>
      <c r="ALL71" s="137" t="n">
        <v>218.95</v>
      </c>
      <c r="ALM71" s="30" t="n"/>
      <c r="ALN71" s="451" t="n"/>
      <c r="ALO71" s="34" t="n"/>
      <c r="ALP71" s="30" t="n"/>
      <c r="ALQ71" s="138">
        <f>+ALM71-ALO71-ALQ71</f>
        <v/>
      </c>
      <c r="ALR71" s="533" t="n"/>
      <c r="ALS71" s="515" t="inlineStr">
        <is>
          <t>SEGUROS</t>
        </is>
      </c>
      <c r="ALT71" s="534" t="inlineStr">
        <is>
          <t>RIMAC SEGUROS</t>
        </is>
      </c>
      <c r="ALU71" s="447" t="n"/>
      <c r="ALV71" s="529" t="n">
        <v>1086478942</v>
      </c>
      <c r="ALW71" s="518" t="n"/>
      <c r="ALX71" s="519" t="n"/>
      <c r="ALY71" s="519" t="n">
        <v>45341</v>
      </c>
      <c r="AMB71" s="137" t="n">
        <v>218.95</v>
      </c>
      <c r="AMC71" s="30" t="n"/>
      <c r="AMD71" s="451" t="n"/>
      <c r="AME71" s="34" t="n"/>
      <c r="AMF71" s="30" t="n"/>
      <c r="AMG71" s="138">
        <f>+AMC71-AME71-AMG71</f>
        <v/>
      </c>
      <c r="AMH71" s="533" t="n"/>
      <c r="AMI71" s="515" t="inlineStr">
        <is>
          <t>SEGUROS</t>
        </is>
      </c>
      <c r="AMJ71" s="534" t="inlineStr">
        <is>
          <t>RIMAC SEGUROS</t>
        </is>
      </c>
      <c r="AMK71" s="447" t="n"/>
      <c r="AML71" s="529" t="n">
        <v>1086478942</v>
      </c>
      <c r="AMM71" s="518" t="n"/>
      <c r="AMN71" s="519" t="n"/>
      <c r="AMO71" s="519" t="n">
        <v>45341</v>
      </c>
      <c r="AMR71" s="137" t="n">
        <v>218.95</v>
      </c>
      <c r="AMS71" s="30" t="n"/>
      <c r="AMT71" s="451" t="n"/>
      <c r="AMU71" s="34" t="n"/>
      <c r="AMV71" s="30" t="n"/>
      <c r="AMW71" s="138">
        <f>+AMS71-AMU71-AMW71</f>
        <v/>
      </c>
      <c r="AMX71" s="533" t="n"/>
      <c r="AMY71" s="515" t="inlineStr">
        <is>
          <t>SEGUROS</t>
        </is>
      </c>
      <c r="AMZ71" s="534" t="inlineStr">
        <is>
          <t>RIMAC SEGUROS</t>
        </is>
      </c>
      <c r="ANA71" s="447" t="n"/>
      <c r="ANB71" s="529" t="n">
        <v>1086478942</v>
      </c>
      <c r="ANC71" s="518" t="n"/>
      <c r="AND71" s="519" t="n"/>
      <c r="ANE71" s="519" t="n">
        <v>45341</v>
      </c>
      <c r="ANH71" s="137" t="n">
        <v>218.95</v>
      </c>
      <c r="ANI71" s="30" t="n"/>
      <c r="ANJ71" s="451" t="n"/>
      <c r="ANK71" s="34" t="n"/>
      <c r="ANL71" s="30" t="n"/>
      <c r="ANM71" s="138">
        <f>+ANI71-ANK71-ANM71</f>
        <v/>
      </c>
      <c r="ANN71" s="533" t="n"/>
      <c r="ANO71" s="515" t="inlineStr">
        <is>
          <t>SEGUROS</t>
        </is>
      </c>
      <c r="ANP71" s="534" t="inlineStr">
        <is>
          <t>RIMAC SEGUROS</t>
        </is>
      </c>
      <c r="ANQ71" s="447" t="n"/>
      <c r="ANR71" s="529" t="n">
        <v>1086478942</v>
      </c>
      <c r="ANS71" s="518" t="n"/>
      <c r="ANT71" s="519" t="n"/>
      <c r="ANU71" s="519" t="n">
        <v>45341</v>
      </c>
      <c r="ANX71" s="137" t="n">
        <v>218.95</v>
      </c>
      <c r="ANY71" s="30" t="n"/>
      <c r="ANZ71" s="451" t="n"/>
      <c r="AOA71" s="34" t="n"/>
      <c r="AOB71" s="30" t="n"/>
      <c r="AOC71" s="138">
        <f>+ANY71-AOA71-AOC71</f>
        <v/>
      </c>
      <c r="AOD71" s="533" t="n"/>
      <c r="AOE71" s="515" t="inlineStr">
        <is>
          <t>SEGUROS</t>
        </is>
      </c>
      <c r="AOF71" s="534" t="inlineStr">
        <is>
          <t>RIMAC SEGUROS</t>
        </is>
      </c>
      <c r="AOG71" s="447" t="n"/>
      <c r="AOH71" s="529" t="n">
        <v>1086478942</v>
      </c>
      <c r="AOI71" s="518" t="n"/>
      <c r="AOJ71" s="519" t="n"/>
      <c r="AOK71" s="519" t="n">
        <v>45341</v>
      </c>
      <c r="AON71" s="137" t="n">
        <v>218.95</v>
      </c>
      <c r="AOO71" s="30" t="n"/>
      <c r="AOP71" s="451" t="n"/>
      <c r="AOQ71" s="34" t="n"/>
      <c r="AOR71" s="30" t="n"/>
      <c r="AOS71" s="138">
        <f>+AOO71-AOQ71-AOS71</f>
        <v/>
      </c>
      <c r="AOT71" s="533" t="n"/>
      <c r="AOU71" s="515" t="inlineStr">
        <is>
          <t>SEGUROS</t>
        </is>
      </c>
      <c r="AOV71" s="534" t="inlineStr">
        <is>
          <t>RIMAC SEGUROS</t>
        </is>
      </c>
      <c r="AOW71" s="447" t="n"/>
      <c r="AOX71" s="529" t="n">
        <v>1086478942</v>
      </c>
      <c r="AOY71" s="518" t="n"/>
      <c r="AOZ71" s="519" t="n"/>
      <c r="APA71" s="519" t="n">
        <v>45341</v>
      </c>
      <c r="APD71" s="137" t="n">
        <v>218.95</v>
      </c>
      <c r="APE71" s="30" t="n"/>
      <c r="APF71" s="451" t="n"/>
      <c r="APG71" s="34" t="n"/>
      <c r="APH71" s="30" t="n"/>
      <c r="API71" s="138">
        <f>+APE71-APG71-API71</f>
        <v/>
      </c>
      <c r="APJ71" s="533" t="n"/>
      <c r="APK71" s="515" t="inlineStr">
        <is>
          <t>SEGUROS</t>
        </is>
      </c>
      <c r="APL71" s="534" t="inlineStr">
        <is>
          <t>RIMAC SEGUROS</t>
        </is>
      </c>
      <c r="APM71" s="447" t="n"/>
      <c r="APN71" s="529" t="n">
        <v>1086478942</v>
      </c>
      <c r="APO71" s="518" t="n"/>
      <c r="APP71" s="519" t="n"/>
      <c r="APQ71" s="519" t="n">
        <v>45341</v>
      </c>
      <c r="APT71" s="137" t="n">
        <v>218.95</v>
      </c>
      <c r="APU71" s="30" t="n"/>
      <c r="APV71" s="451" t="n"/>
      <c r="APW71" s="34" t="n"/>
      <c r="APX71" s="30" t="n"/>
      <c r="APY71" s="138">
        <f>+APU71-APW71-APY71</f>
        <v/>
      </c>
      <c r="APZ71" s="533" t="n"/>
      <c r="AQA71" s="515" t="inlineStr">
        <is>
          <t>SEGUROS</t>
        </is>
      </c>
      <c r="AQB71" s="534" t="inlineStr">
        <is>
          <t>RIMAC SEGUROS</t>
        </is>
      </c>
      <c r="AQC71" s="447" t="n"/>
      <c r="AQD71" s="529" t="n">
        <v>1086478942</v>
      </c>
      <c r="AQE71" s="518" t="n"/>
      <c r="AQF71" s="519" t="n"/>
      <c r="AQG71" s="519" t="n">
        <v>45341</v>
      </c>
      <c r="AQJ71" s="137" t="n">
        <v>218.95</v>
      </c>
      <c r="AQK71" s="30" t="n"/>
      <c r="AQL71" s="451" t="n"/>
      <c r="AQM71" s="34" t="n"/>
      <c r="AQN71" s="30" t="n"/>
      <c r="AQO71" s="138">
        <f>+AQK71-AQM71-AQO71</f>
        <v/>
      </c>
      <c r="AQP71" s="533" t="n"/>
      <c r="AQQ71" s="515" t="inlineStr">
        <is>
          <t>SEGUROS</t>
        </is>
      </c>
      <c r="AQR71" s="534" t="inlineStr">
        <is>
          <t>RIMAC SEGUROS</t>
        </is>
      </c>
      <c r="AQS71" s="447" t="n"/>
      <c r="AQT71" s="529" t="n">
        <v>1086478942</v>
      </c>
      <c r="AQU71" s="518" t="n"/>
      <c r="AQV71" s="519" t="n"/>
      <c r="AQW71" s="519" t="n">
        <v>45341</v>
      </c>
      <c r="AQZ71" s="137" t="n">
        <v>218.95</v>
      </c>
      <c r="ARA71" s="30" t="n"/>
      <c r="ARB71" s="451" t="n"/>
      <c r="ARC71" s="34" t="n"/>
      <c r="ARD71" s="30" t="n"/>
      <c r="ARE71" s="138">
        <f>+ARA71-ARC71-ARE71</f>
        <v/>
      </c>
      <c r="ARF71" s="533" t="n"/>
      <c r="ARG71" s="515" t="inlineStr">
        <is>
          <t>SEGUROS</t>
        </is>
      </c>
      <c r="ARH71" s="534" t="inlineStr">
        <is>
          <t>RIMAC SEGUROS</t>
        </is>
      </c>
      <c r="ARI71" s="447" t="n"/>
      <c r="ARJ71" s="529" t="n">
        <v>1086478942</v>
      </c>
      <c r="ARK71" s="518" t="n"/>
      <c r="ARL71" s="519" t="n"/>
      <c r="ARM71" s="519" t="n">
        <v>45341</v>
      </c>
      <c r="ARP71" s="137" t="n">
        <v>218.95</v>
      </c>
      <c r="ARQ71" s="30" t="n"/>
      <c r="ARR71" s="451" t="n"/>
      <c r="ARS71" s="34" t="n"/>
      <c r="ART71" s="30" t="n"/>
      <c r="ARU71" s="138">
        <f>+ARQ71-ARS71-ARU71</f>
        <v/>
      </c>
      <c r="ARV71" s="533" t="n"/>
      <c r="ARW71" s="515" t="inlineStr">
        <is>
          <t>SEGUROS</t>
        </is>
      </c>
      <c r="ARX71" s="534" t="inlineStr">
        <is>
          <t>RIMAC SEGUROS</t>
        </is>
      </c>
      <c r="ARY71" s="447" t="n"/>
      <c r="ARZ71" s="529" t="n">
        <v>1086478942</v>
      </c>
      <c r="ASA71" s="518" t="n"/>
      <c r="ASB71" s="519" t="n"/>
      <c r="ASC71" s="519" t="n">
        <v>45341</v>
      </c>
      <c r="ASF71" s="137" t="n">
        <v>218.95</v>
      </c>
      <c r="ASG71" s="30" t="n"/>
      <c r="ASH71" s="451" t="n"/>
      <c r="ASI71" s="34" t="n"/>
      <c r="ASJ71" s="30" t="n"/>
      <c r="ASK71" s="138">
        <f>+ASG71-ASI71-ASK71</f>
        <v/>
      </c>
      <c r="ASL71" s="533" t="n"/>
      <c r="ASM71" s="515" t="inlineStr">
        <is>
          <t>SEGUROS</t>
        </is>
      </c>
      <c r="ASN71" s="534" t="inlineStr">
        <is>
          <t>RIMAC SEGUROS</t>
        </is>
      </c>
      <c r="ASO71" s="447" t="n"/>
      <c r="ASP71" s="529" t="n">
        <v>1086478942</v>
      </c>
      <c r="ASQ71" s="518" t="n"/>
      <c r="ASR71" s="519" t="n"/>
      <c r="ASS71" s="519" t="n">
        <v>45341</v>
      </c>
      <c r="ASV71" s="137" t="n">
        <v>218.95</v>
      </c>
      <c r="ASW71" s="30" t="n"/>
      <c r="ASX71" s="451" t="n"/>
      <c r="ASY71" s="34" t="n"/>
      <c r="ASZ71" s="30" t="n"/>
      <c r="ATA71" s="138">
        <f>+ASW71-ASY71-ATA71</f>
        <v/>
      </c>
      <c r="ATB71" s="533" t="n"/>
      <c r="ATC71" s="515" t="inlineStr">
        <is>
          <t>SEGUROS</t>
        </is>
      </c>
      <c r="ATD71" s="534" t="inlineStr">
        <is>
          <t>RIMAC SEGUROS</t>
        </is>
      </c>
      <c r="ATE71" s="447" t="n"/>
      <c r="ATF71" s="529" t="n">
        <v>1086478942</v>
      </c>
      <c r="ATG71" s="518" t="n"/>
      <c r="ATH71" s="519" t="n"/>
      <c r="ATI71" s="519" t="n">
        <v>45341</v>
      </c>
      <c r="ATL71" s="137" t="n">
        <v>218.95</v>
      </c>
      <c r="ATM71" s="30" t="n"/>
      <c r="ATN71" s="451" t="n"/>
      <c r="ATO71" s="34" t="n"/>
      <c r="ATP71" s="30" t="n"/>
      <c r="ATQ71" s="138">
        <f>+ATM71-ATO71-ATQ71</f>
        <v/>
      </c>
      <c r="ATR71" s="533" t="n"/>
      <c r="ATS71" s="515" t="inlineStr">
        <is>
          <t>SEGUROS</t>
        </is>
      </c>
      <c r="ATT71" s="534" t="inlineStr">
        <is>
          <t>RIMAC SEGUROS</t>
        </is>
      </c>
      <c r="ATU71" s="447" t="n"/>
      <c r="ATV71" s="529" t="n">
        <v>1086478942</v>
      </c>
      <c r="ATW71" s="518" t="n"/>
      <c r="ATX71" s="519" t="n"/>
      <c r="ATY71" s="519" t="n">
        <v>45341</v>
      </c>
      <c r="AUB71" s="137" t="n">
        <v>218.95</v>
      </c>
      <c r="AUC71" s="30" t="n"/>
      <c r="AUD71" s="451" t="n"/>
      <c r="AUE71" s="34" t="n"/>
      <c r="AUF71" s="30" t="n"/>
      <c r="AUG71" s="138">
        <f>+AUC71-AUE71-AUG71</f>
        <v/>
      </c>
      <c r="AUH71" s="533" t="n"/>
      <c r="AUI71" s="515" t="inlineStr">
        <is>
          <t>SEGUROS</t>
        </is>
      </c>
      <c r="AUJ71" s="534" t="inlineStr">
        <is>
          <t>RIMAC SEGUROS</t>
        </is>
      </c>
      <c r="AUK71" s="447" t="n"/>
      <c r="AUL71" s="529" t="n">
        <v>1086478942</v>
      </c>
      <c r="AUM71" s="518" t="n"/>
      <c r="AUN71" s="519" t="n"/>
      <c r="AUO71" s="519" t="n">
        <v>45341</v>
      </c>
      <c r="AUR71" s="137" t="n">
        <v>218.95</v>
      </c>
      <c r="AUS71" s="30" t="n"/>
      <c r="AUT71" s="451" t="n"/>
      <c r="AUU71" s="34" t="n"/>
      <c r="AUV71" s="30" t="n"/>
      <c r="AUW71" s="138">
        <f>+AUS71-AUU71-AUW71</f>
        <v/>
      </c>
      <c r="AUX71" s="533" t="n"/>
      <c r="AUY71" s="515" t="inlineStr">
        <is>
          <t>SEGUROS</t>
        </is>
      </c>
      <c r="AUZ71" s="534" t="inlineStr">
        <is>
          <t>RIMAC SEGUROS</t>
        </is>
      </c>
      <c r="AVA71" s="447" t="n"/>
      <c r="AVB71" s="529" t="n">
        <v>1086478942</v>
      </c>
      <c r="AVC71" s="518" t="n"/>
      <c r="AVD71" s="519" t="n"/>
      <c r="AVE71" s="519" t="n">
        <v>45341</v>
      </c>
      <c r="AVH71" s="137" t="n">
        <v>218.95</v>
      </c>
      <c r="AVI71" s="30" t="n"/>
      <c r="AVJ71" s="451" t="n"/>
      <c r="AVK71" s="34" t="n"/>
      <c r="AVL71" s="30" t="n"/>
      <c r="AVM71" s="138">
        <f>+AVI71-AVK71-AVM71</f>
        <v/>
      </c>
      <c r="AVN71" s="533" t="n"/>
      <c r="AVO71" s="515" t="inlineStr">
        <is>
          <t>SEGUROS</t>
        </is>
      </c>
      <c r="AVP71" s="534" t="inlineStr">
        <is>
          <t>RIMAC SEGUROS</t>
        </is>
      </c>
      <c r="AVQ71" s="447" t="n"/>
      <c r="AVR71" s="529" t="n">
        <v>1086478942</v>
      </c>
      <c r="AVS71" s="518" t="n"/>
      <c r="AVT71" s="519" t="n"/>
      <c r="AVU71" s="519" t="n">
        <v>45341</v>
      </c>
      <c r="AVX71" s="137" t="n">
        <v>218.95</v>
      </c>
      <c r="AVY71" s="30" t="n"/>
      <c r="AVZ71" s="451" t="n"/>
      <c r="AWA71" s="34" t="n"/>
      <c r="AWB71" s="30" t="n"/>
      <c r="AWC71" s="138">
        <f>+AVY71-AWA71-AWC71</f>
        <v/>
      </c>
      <c r="AWD71" s="533" t="n"/>
      <c r="AWE71" s="515" t="inlineStr">
        <is>
          <t>SEGUROS</t>
        </is>
      </c>
      <c r="AWF71" s="534" t="inlineStr">
        <is>
          <t>RIMAC SEGUROS</t>
        </is>
      </c>
      <c r="AWG71" s="447" t="n"/>
      <c r="AWH71" s="529" t="n">
        <v>1086478942</v>
      </c>
      <c r="AWI71" s="518" t="n"/>
      <c r="AWJ71" s="519" t="n"/>
      <c r="AWK71" s="519" t="n">
        <v>45341</v>
      </c>
      <c r="AWN71" s="137" t="n">
        <v>218.95</v>
      </c>
      <c r="AWO71" s="30" t="n"/>
      <c r="AWP71" s="451" t="n"/>
      <c r="AWQ71" s="34" t="n"/>
      <c r="AWR71" s="30" t="n"/>
      <c r="AWS71" s="138">
        <f>+AWO71-AWQ71-AWS71</f>
        <v/>
      </c>
      <c r="AWT71" s="533" t="n"/>
      <c r="AWU71" s="515" t="inlineStr">
        <is>
          <t>SEGUROS</t>
        </is>
      </c>
      <c r="AWV71" s="534" t="inlineStr">
        <is>
          <t>RIMAC SEGUROS</t>
        </is>
      </c>
      <c r="AWW71" s="447" t="n"/>
      <c r="AWX71" s="529" t="n">
        <v>1086478942</v>
      </c>
      <c r="AWY71" s="518" t="n"/>
      <c r="AWZ71" s="519" t="n"/>
      <c r="AXA71" s="519" t="n">
        <v>45341</v>
      </c>
      <c r="AXD71" s="137" t="n">
        <v>218.95</v>
      </c>
      <c r="AXE71" s="30" t="n"/>
      <c r="AXF71" s="451" t="n"/>
      <c r="AXG71" s="34" t="n"/>
      <c r="AXH71" s="30" t="n"/>
      <c r="AXI71" s="138">
        <f>+AXE71-AXG71-AXI71</f>
        <v/>
      </c>
      <c r="AXJ71" s="533" t="n"/>
      <c r="AXK71" s="515" t="inlineStr">
        <is>
          <t>SEGUROS</t>
        </is>
      </c>
      <c r="AXL71" s="534" t="inlineStr">
        <is>
          <t>RIMAC SEGUROS</t>
        </is>
      </c>
      <c r="AXM71" s="447" t="n"/>
      <c r="AXN71" s="529" t="n">
        <v>1086478942</v>
      </c>
      <c r="AXO71" s="518" t="n"/>
      <c r="AXP71" s="519" t="n"/>
      <c r="AXQ71" s="519" t="n">
        <v>45341</v>
      </c>
      <c r="AXT71" s="137" t="n">
        <v>218.95</v>
      </c>
      <c r="AXU71" s="30" t="n"/>
      <c r="AXV71" s="451" t="n"/>
      <c r="AXW71" s="34" t="n"/>
      <c r="AXX71" s="30" t="n"/>
      <c r="AXY71" s="138">
        <f>+AXU71-AXW71-AXY71</f>
        <v/>
      </c>
      <c r="AXZ71" s="533" t="n"/>
      <c r="AYA71" s="515" t="inlineStr">
        <is>
          <t>SEGUROS</t>
        </is>
      </c>
      <c r="AYB71" s="534" t="inlineStr">
        <is>
          <t>RIMAC SEGUROS</t>
        </is>
      </c>
      <c r="AYC71" s="447" t="n"/>
      <c r="AYD71" s="529" t="n">
        <v>1086478942</v>
      </c>
      <c r="AYE71" s="518" t="n"/>
      <c r="AYF71" s="519" t="n"/>
      <c r="AYG71" s="519" t="n">
        <v>45341</v>
      </c>
      <c r="AYJ71" s="137" t="n">
        <v>218.95</v>
      </c>
      <c r="AYK71" s="30" t="n"/>
      <c r="AYL71" s="451" t="n"/>
      <c r="AYM71" s="34" t="n"/>
      <c r="AYN71" s="30" t="n"/>
      <c r="AYO71" s="138">
        <f>+AYK71-AYM71-AYO71</f>
        <v/>
      </c>
      <c r="AYP71" s="533" t="n"/>
      <c r="AYQ71" s="515" t="inlineStr">
        <is>
          <t>SEGUROS</t>
        </is>
      </c>
      <c r="AYR71" s="534" t="inlineStr">
        <is>
          <t>RIMAC SEGUROS</t>
        </is>
      </c>
      <c r="AYS71" s="447" t="n"/>
      <c r="AYT71" s="529" t="n">
        <v>1086478942</v>
      </c>
      <c r="AYU71" s="518" t="n"/>
      <c r="AYV71" s="519" t="n"/>
      <c r="AYW71" s="519" t="n">
        <v>45341</v>
      </c>
      <c r="AYZ71" s="137" t="n">
        <v>218.95</v>
      </c>
      <c r="AZA71" s="30" t="n"/>
      <c r="AZB71" s="451" t="n"/>
      <c r="AZC71" s="34" t="n"/>
      <c r="AZD71" s="30" t="n"/>
      <c r="AZE71" s="138">
        <f>+AZA71-AZC71-AZE71</f>
        <v/>
      </c>
      <c r="AZF71" s="533" t="n"/>
      <c r="AZG71" s="515" t="inlineStr">
        <is>
          <t>SEGUROS</t>
        </is>
      </c>
      <c r="AZH71" s="534" t="inlineStr">
        <is>
          <t>RIMAC SEGUROS</t>
        </is>
      </c>
      <c r="AZI71" s="447" t="n"/>
      <c r="AZJ71" s="529" t="n">
        <v>1086478942</v>
      </c>
      <c r="AZK71" s="518" t="n"/>
      <c r="AZL71" s="519" t="n"/>
      <c r="AZM71" s="519" t="n">
        <v>45341</v>
      </c>
      <c r="AZP71" s="137" t="n">
        <v>218.95</v>
      </c>
      <c r="AZQ71" s="30" t="n"/>
      <c r="AZR71" s="451" t="n"/>
      <c r="AZS71" s="34" t="n"/>
      <c r="AZT71" s="30" t="n"/>
      <c r="AZU71" s="138">
        <f>+AZQ71-AZS71-AZU71</f>
        <v/>
      </c>
      <c r="AZV71" s="533" t="n"/>
      <c r="AZW71" s="515" t="inlineStr">
        <is>
          <t>SEGUROS</t>
        </is>
      </c>
      <c r="AZX71" s="534" t="inlineStr">
        <is>
          <t>RIMAC SEGUROS</t>
        </is>
      </c>
      <c r="AZY71" s="447" t="n"/>
      <c r="AZZ71" s="529" t="n">
        <v>1086478942</v>
      </c>
      <c r="BAA71" s="518" t="n"/>
      <c r="BAB71" s="519" t="n"/>
      <c r="BAC71" s="519" t="n">
        <v>45341</v>
      </c>
      <c r="BAF71" s="137" t="n">
        <v>218.95</v>
      </c>
      <c r="BAG71" s="30" t="n"/>
      <c r="BAH71" s="451" t="n"/>
      <c r="BAI71" s="34" t="n"/>
      <c r="BAJ71" s="30" t="n"/>
      <c r="BAK71" s="138">
        <f>+BAG71-BAI71-BAK71</f>
        <v/>
      </c>
      <c r="BAL71" s="533" t="n"/>
      <c r="BAM71" s="515" t="inlineStr">
        <is>
          <t>SEGUROS</t>
        </is>
      </c>
      <c r="BAN71" s="534" t="inlineStr">
        <is>
          <t>RIMAC SEGUROS</t>
        </is>
      </c>
      <c r="BAO71" s="447" t="n"/>
      <c r="BAP71" s="529" t="n">
        <v>1086478942</v>
      </c>
      <c r="BAQ71" s="518" t="n"/>
      <c r="BAR71" s="519" t="n"/>
      <c r="BAS71" s="519" t="n">
        <v>45341</v>
      </c>
      <c r="BAV71" s="137" t="n">
        <v>218.95</v>
      </c>
      <c r="BAW71" s="30" t="n"/>
      <c r="BAX71" s="451" t="n"/>
      <c r="BAY71" s="34" t="n"/>
      <c r="BAZ71" s="30" t="n"/>
      <c r="BBA71" s="138">
        <f>+BAW71-BAY71-BBA71</f>
        <v/>
      </c>
      <c r="BBB71" s="533" t="n"/>
      <c r="BBC71" s="515" t="inlineStr">
        <is>
          <t>SEGUROS</t>
        </is>
      </c>
      <c r="BBD71" s="534" t="inlineStr">
        <is>
          <t>RIMAC SEGUROS</t>
        </is>
      </c>
      <c r="BBE71" s="447" t="n"/>
      <c r="BBF71" s="529" t="n">
        <v>1086478942</v>
      </c>
      <c r="BBG71" s="518" t="n"/>
      <c r="BBH71" s="519" t="n"/>
      <c r="BBI71" s="519" t="n">
        <v>45341</v>
      </c>
      <c r="BBL71" s="137" t="n">
        <v>218.95</v>
      </c>
      <c r="BBM71" s="30" t="n"/>
      <c r="BBN71" s="451" t="n"/>
      <c r="BBO71" s="34" t="n"/>
      <c r="BBP71" s="30" t="n"/>
      <c r="BBQ71" s="138">
        <f>+BBM71-BBO71-BBQ71</f>
        <v/>
      </c>
      <c r="BBR71" s="533" t="n"/>
      <c r="BBS71" s="515" t="inlineStr">
        <is>
          <t>SEGUROS</t>
        </is>
      </c>
      <c r="BBT71" s="534" t="inlineStr">
        <is>
          <t>RIMAC SEGUROS</t>
        </is>
      </c>
      <c r="BBU71" s="447" t="n"/>
      <c r="BBV71" s="529" t="n">
        <v>1086478942</v>
      </c>
      <c r="BBW71" s="518" t="n"/>
      <c r="BBX71" s="519" t="n"/>
      <c r="BBY71" s="519" t="n">
        <v>45341</v>
      </c>
      <c r="BCB71" s="137" t="n">
        <v>218.95</v>
      </c>
      <c r="BCC71" s="30" t="n"/>
      <c r="BCD71" s="451" t="n"/>
      <c r="BCE71" s="34" t="n"/>
      <c r="BCF71" s="30" t="n"/>
      <c r="BCG71" s="138">
        <f>+BCC71-BCE71-BCG71</f>
        <v/>
      </c>
      <c r="BCH71" s="533" t="n"/>
      <c r="BCI71" s="515" t="inlineStr">
        <is>
          <t>SEGUROS</t>
        </is>
      </c>
      <c r="BCJ71" s="534" t="inlineStr">
        <is>
          <t>RIMAC SEGUROS</t>
        </is>
      </c>
      <c r="BCK71" s="447" t="n"/>
      <c r="BCL71" s="529" t="n">
        <v>1086478942</v>
      </c>
      <c r="BCM71" s="518" t="n"/>
      <c r="BCN71" s="519" t="n"/>
      <c r="BCO71" s="519" t="n">
        <v>45341</v>
      </c>
      <c r="BCR71" s="137" t="n">
        <v>218.95</v>
      </c>
      <c r="BCS71" s="30" t="n"/>
      <c r="BCT71" s="451" t="n"/>
      <c r="BCU71" s="34" t="n"/>
      <c r="BCV71" s="30" t="n"/>
      <c r="BCW71" s="138">
        <f>+BCS71-BCU71-BCW71</f>
        <v/>
      </c>
      <c r="BCX71" s="533" t="n"/>
      <c r="BCY71" s="515" t="inlineStr">
        <is>
          <t>SEGUROS</t>
        </is>
      </c>
      <c r="BCZ71" s="534" t="inlineStr">
        <is>
          <t>RIMAC SEGUROS</t>
        </is>
      </c>
      <c r="BDA71" s="447" t="n"/>
      <c r="BDB71" s="529" t="n">
        <v>1086478942</v>
      </c>
      <c r="BDC71" s="518" t="n"/>
      <c r="BDD71" s="519" t="n"/>
      <c r="BDE71" s="519" t="n">
        <v>45341</v>
      </c>
      <c r="BDH71" s="137" t="n">
        <v>218.95</v>
      </c>
      <c r="BDI71" s="30" t="n"/>
      <c r="BDJ71" s="451" t="n"/>
      <c r="BDK71" s="34" t="n"/>
      <c r="BDL71" s="30" t="n"/>
      <c r="BDM71" s="138">
        <f>+BDI71-BDK71-BDM71</f>
        <v/>
      </c>
      <c r="BDN71" s="533" t="n"/>
      <c r="BDO71" s="515" t="inlineStr">
        <is>
          <t>SEGUROS</t>
        </is>
      </c>
      <c r="BDP71" s="534" t="inlineStr">
        <is>
          <t>RIMAC SEGUROS</t>
        </is>
      </c>
      <c r="BDQ71" s="447" t="n"/>
      <c r="BDR71" s="529" t="n">
        <v>1086478942</v>
      </c>
      <c r="BDS71" s="518" t="n"/>
      <c r="BDT71" s="519" t="n"/>
      <c r="BDU71" s="519" t="n">
        <v>45341</v>
      </c>
      <c r="BDX71" s="137" t="n">
        <v>218.95</v>
      </c>
      <c r="BDY71" s="30" t="n"/>
      <c r="BDZ71" s="451" t="n"/>
      <c r="BEA71" s="34" t="n"/>
      <c r="BEB71" s="30" t="n"/>
      <c r="BEC71" s="138">
        <f>+BDY71-BEA71-BEC71</f>
        <v/>
      </c>
      <c r="BED71" s="533" t="n"/>
      <c r="BEE71" s="515" t="inlineStr">
        <is>
          <t>SEGUROS</t>
        </is>
      </c>
      <c r="BEF71" s="534" t="inlineStr">
        <is>
          <t>RIMAC SEGUROS</t>
        </is>
      </c>
      <c r="BEG71" s="447" t="n"/>
      <c r="BEH71" s="529" t="n">
        <v>1086478942</v>
      </c>
      <c r="BEI71" s="518" t="n"/>
      <c r="BEJ71" s="519" t="n"/>
      <c r="BEK71" s="519" t="n">
        <v>45341</v>
      </c>
      <c r="BEN71" s="137" t="n">
        <v>218.95</v>
      </c>
      <c r="BEO71" s="30" t="n"/>
      <c r="BEP71" s="451" t="n"/>
      <c r="BEQ71" s="34" t="n"/>
      <c r="BER71" s="30" t="n"/>
      <c r="BES71" s="138">
        <f>+BEO71-BEQ71-BES71</f>
        <v/>
      </c>
      <c r="BET71" s="533" t="n"/>
      <c r="BEU71" s="515" t="inlineStr">
        <is>
          <t>SEGUROS</t>
        </is>
      </c>
      <c r="BEV71" s="534" t="inlineStr">
        <is>
          <t>RIMAC SEGUROS</t>
        </is>
      </c>
      <c r="BEW71" s="447" t="n"/>
      <c r="BEX71" s="529" t="n">
        <v>1086478942</v>
      </c>
      <c r="BEY71" s="518" t="n"/>
      <c r="BEZ71" s="519" t="n"/>
      <c r="BFA71" s="519" t="n">
        <v>45341</v>
      </c>
      <c r="BFD71" s="137" t="n">
        <v>218.95</v>
      </c>
      <c r="BFE71" s="30" t="n"/>
      <c r="BFF71" s="451" t="n"/>
      <c r="BFG71" s="34" t="n"/>
      <c r="BFH71" s="30" t="n"/>
      <c r="BFI71" s="138">
        <f>+BFE71-BFG71-BFI71</f>
        <v/>
      </c>
      <c r="BFJ71" s="533" t="n"/>
      <c r="BFK71" s="515" t="inlineStr">
        <is>
          <t>SEGUROS</t>
        </is>
      </c>
      <c r="BFL71" s="534" t="inlineStr">
        <is>
          <t>RIMAC SEGUROS</t>
        </is>
      </c>
      <c r="BFM71" s="447" t="n"/>
      <c r="BFN71" s="529" t="n">
        <v>1086478942</v>
      </c>
      <c r="BFO71" s="518" t="n"/>
      <c r="BFP71" s="519" t="n"/>
      <c r="BFQ71" s="519" t="n">
        <v>45341</v>
      </c>
      <c r="BFT71" s="137" t="n">
        <v>218.95</v>
      </c>
      <c r="BFU71" s="30" t="n"/>
      <c r="BFV71" s="451" t="n"/>
      <c r="BFW71" s="34" t="n"/>
      <c r="BFX71" s="30" t="n"/>
      <c r="BFY71" s="138">
        <f>+BFU71-BFW71-BFY71</f>
        <v/>
      </c>
      <c r="BFZ71" s="533" t="n"/>
      <c r="BGA71" s="515" t="inlineStr">
        <is>
          <t>SEGUROS</t>
        </is>
      </c>
      <c r="BGB71" s="534" t="inlineStr">
        <is>
          <t>RIMAC SEGUROS</t>
        </is>
      </c>
      <c r="BGC71" s="447" t="n"/>
      <c r="BGD71" s="529" t="n">
        <v>1086478942</v>
      </c>
      <c r="BGE71" s="518" t="n"/>
      <c r="BGF71" s="519" t="n"/>
      <c r="BGG71" s="519" t="n">
        <v>45341</v>
      </c>
      <c r="BGJ71" s="137" t="n">
        <v>218.95</v>
      </c>
      <c r="BGK71" s="30" t="n"/>
      <c r="BGL71" s="451" t="n"/>
      <c r="BGM71" s="34" t="n"/>
      <c r="BGN71" s="30" t="n"/>
      <c r="BGO71" s="138">
        <f>+BGK71-BGM71-BGO71</f>
        <v/>
      </c>
      <c r="BGP71" s="533" t="n"/>
      <c r="BGQ71" s="515" t="inlineStr">
        <is>
          <t>SEGUROS</t>
        </is>
      </c>
      <c r="BGR71" s="534" t="inlineStr">
        <is>
          <t>RIMAC SEGUROS</t>
        </is>
      </c>
      <c r="BGS71" s="447" t="n"/>
      <c r="BGT71" s="529" t="n">
        <v>1086478942</v>
      </c>
      <c r="BGU71" s="518" t="n"/>
      <c r="BGV71" s="519" t="n"/>
      <c r="BGW71" s="519" t="n">
        <v>45341</v>
      </c>
      <c r="BGZ71" s="137" t="n">
        <v>218.95</v>
      </c>
      <c r="BHA71" s="30" t="n"/>
      <c r="BHB71" s="451" t="n"/>
      <c r="BHC71" s="34" t="n"/>
      <c r="BHD71" s="30" t="n"/>
      <c r="BHE71" s="138">
        <f>+BHA71-BHC71-BHE71</f>
        <v/>
      </c>
      <c r="BHF71" s="533" t="n"/>
      <c r="BHG71" s="515" t="inlineStr">
        <is>
          <t>SEGUROS</t>
        </is>
      </c>
      <c r="BHH71" s="534" t="inlineStr">
        <is>
          <t>RIMAC SEGUROS</t>
        </is>
      </c>
      <c r="BHI71" s="447" t="n"/>
      <c r="BHJ71" s="529" t="n">
        <v>1086478942</v>
      </c>
      <c r="BHK71" s="518" t="n"/>
      <c r="BHL71" s="519" t="n"/>
      <c r="BHM71" s="519" t="n">
        <v>45341</v>
      </c>
      <c r="BHP71" s="137" t="n">
        <v>218.95</v>
      </c>
      <c r="BHQ71" s="30" t="n"/>
      <c r="BHR71" s="451" t="n"/>
      <c r="BHS71" s="34" t="n"/>
      <c r="BHT71" s="30" t="n"/>
      <c r="BHU71" s="138">
        <f>+BHQ71-BHS71-BHU71</f>
        <v/>
      </c>
      <c r="BHV71" s="533" t="n"/>
      <c r="BHW71" s="515" t="inlineStr">
        <is>
          <t>SEGUROS</t>
        </is>
      </c>
      <c r="BHX71" s="534" t="inlineStr">
        <is>
          <t>RIMAC SEGUROS</t>
        </is>
      </c>
      <c r="BHY71" s="447" t="n"/>
      <c r="BHZ71" s="529" t="n">
        <v>1086478942</v>
      </c>
      <c r="BIA71" s="518" t="n"/>
      <c r="BIB71" s="519" t="n"/>
      <c r="BIC71" s="519" t="n">
        <v>45341</v>
      </c>
      <c r="BIF71" s="137" t="n">
        <v>218.95</v>
      </c>
      <c r="BIG71" s="30" t="n"/>
      <c r="BIH71" s="451" t="n"/>
      <c r="BII71" s="34" t="n"/>
      <c r="BIJ71" s="30" t="n"/>
      <c r="BIK71" s="138">
        <f>+BIG71-BII71-BIK71</f>
        <v/>
      </c>
      <c r="BIL71" s="533" t="n"/>
      <c r="BIM71" s="515" t="inlineStr">
        <is>
          <t>SEGUROS</t>
        </is>
      </c>
      <c r="BIN71" s="534" t="inlineStr">
        <is>
          <t>RIMAC SEGUROS</t>
        </is>
      </c>
      <c r="BIO71" s="447" t="n"/>
      <c r="BIP71" s="529" t="n">
        <v>1086478942</v>
      </c>
      <c r="BIQ71" s="518" t="n"/>
      <c r="BIR71" s="519" t="n"/>
      <c r="BIS71" s="519" t="n">
        <v>45341</v>
      </c>
      <c r="BIV71" s="137" t="n">
        <v>218.95</v>
      </c>
      <c r="BIW71" s="30" t="n"/>
      <c r="BIX71" s="451" t="n"/>
      <c r="BIY71" s="34" t="n"/>
      <c r="BIZ71" s="30" t="n"/>
      <c r="BJA71" s="138">
        <f>+BIW71-BIY71-BJA71</f>
        <v/>
      </c>
      <c r="BJB71" s="533" t="n"/>
      <c r="BJC71" s="515" t="inlineStr">
        <is>
          <t>SEGUROS</t>
        </is>
      </c>
      <c r="BJD71" s="534" t="inlineStr">
        <is>
          <t>RIMAC SEGUROS</t>
        </is>
      </c>
      <c r="BJE71" s="447" t="n"/>
      <c r="BJF71" s="529" t="n">
        <v>1086478942</v>
      </c>
      <c r="BJG71" s="518" t="n"/>
      <c r="BJH71" s="519" t="n"/>
      <c r="BJI71" s="519" t="n">
        <v>45341</v>
      </c>
      <c r="BJL71" s="137" t="n">
        <v>218.95</v>
      </c>
      <c r="BJM71" s="30" t="n"/>
      <c r="BJN71" s="451" t="n"/>
      <c r="BJO71" s="34" t="n"/>
      <c r="BJP71" s="30" t="n"/>
      <c r="BJQ71" s="138">
        <f>+BJM71-BJO71-BJQ71</f>
        <v/>
      </c>
      <c r="BJR71" s="533" t="n"/>
      <c r="BJS71" s="515" t="inlineStr">
        <is>
          <t>SEGUROS</t>
        </is>
      </c>
      <c r="BJT71" s="534" t="inlineStr">
        <is>
          <t>RIMAC SEGUROS</t>
        </is>
      </c>
      <c r="BJU71" s="447" t="n"/>
      <c r="BJV71" s="529" t="n">
        <v>1086478942</v>
      </c>
      <c r="BJW71" s="518" t="n"/>
      <c r="BJX71" s="519" t="n"/>
      <c r="BJY71" s="519" t="n">
        <v>45341</v>
      </c>
      <c r="BKB71" s="137" t="n">
        <v>218.95</v>
      </c>
      <c r="BKC71" s="30" t="n"/>
      <c r="BKD71" s="451" t="n"/>
      <c r="BKE71" s="34" t="n"/>
      <c r="BKF71" s="30" t="n"/>
      <c r="BKG71" s="138">
        <f>+BKC71-BKE71-BKG71</f>
        <v/>
      </c>
      <c r="BKH71" s="533" t="n"/>
      <c r="BKI71" s="515" t="inlineStr">
        <is>
          <t>SEGUROS</t>
        </is>
      </c>
      <c r="BKJ71" s="534" t="inlineStr">
        <is>
          <t>RIMAC SEGUROS</t>
        </is>
      </c>
      <c r="BKK71" s="447" t="n"/>
      <c r="BKL71" s="529" t="n">
        <v>1086478942</v>
      </c>
      <c r="BKM71" s="518" t="n"/>
      <c r="BKN71" s="519" t="n"/>
      <c r="BKO71" s="519" t="n">
        <v>45341</v>
      </c>
      <c r="BKR71" s="137" t="n">
        <v>218.95</v>
      </c>
      <c r="BKS71" s="30" t="n"/>
      <c r="BKT71" s="451" t="n"/>
      <c r="BKU71" s="34" t="n"/>
      <c r="BKV71" s="30" t="n"/>
      <c r="BKW71" s="138">
        <f>+BKS71-BKU71-BKW71</f>
        <v/>
      </c>
      <c r="BKX71" s="533" t="n"/>
      <c r="BKY71" s="515" t="inlineStr">
        <is>
          <t>SEGUROS</t>
        </is>
      </c>
      <c r="BKZ71" s="534" t="inlineStr">
        <is>
          <t>RIMAC SEGUROS</t>
        </is>
      </c>
      <c r="BLA71" s="447" t="n"/>
      <c r="BLB71" s="529" t="n">
        <v>1086478942</v>
      </c>
      <c r="BLC71" s="518" t="n"/>
      <c r="BLD71" s="519" t="n"/>
      <c r="BLE71" s="519" t="n">
        <v>45341</v>
      </c>
      <c r="BLH71" s="137" t="n">
        <v>218.95</v>
      </c>
      <c r="BLI71" s="30" t="n"/>
      <c r="BLJ71" s="451" t="n"/>
      <c r="BLK71" s="34" t="n"/>
      <c r="BLL71" s="30" t="n"/>
      <c r="BLM71" s="138">
        <f>+BLI71-BLK71-BLM71</f>
        <v/>
      </c>
      <c r="BLN71" s="533" t="n"/>
      <c r="BLO71" s="515" t="inlineStr">
        <is>
          <t>SEGUROS</t>
        </is>
      </c>
      <c r="BLP71" s="534" t="inlineStr">
        <is>
          <t>RIMAC SEGUROS</t>
        </is>
      </c>
      <c r="BLQ71" s="447" t="n"/>
      <c r="BLR71" s="529" t="n">
        <v>1086478942</v>
      </c>
      <c r="BLS71" s="518" t="n"/>
      <c r="BLT71" s="519" t="n"/>
      <c r="BLU71" s="519" t="n">
        <v>45341</v>
      </c>
      <c r="BLX71" s="137" t="n">
        <v>218.95</v>
      </c>
      <c r="BLY71" s="30" t="n"/>
      <c r="BLZ71" s="451" t="n"/>
      <c r="BMA71" s="34" t="n"/>
      <c r="BMB71" s="30" t="n"/>
      <c r="BMC71" s="138">
        <f>+BLY71-BMA71-BMC71</f>
        <v/>
      </c>
      <c r="BMD71" s="533" t="n"/>
      <c r="BME71" s="515" t="inlineStr">
        <is>
          <t>SEGUROS</t>
        </is>
      </c>
      <c r="BMF71" s="534" t="inlineStr">
        <is>
          <t>RIMAC SEGUROS</t>
        </is>
      </c>
      <c r="BMG71" s="447" t="n"/>
      <c r="BMH71" s="529" t="n">
        <v>1086478942</v>
      </c>
      <c r="BMI71" s="518" t="n"/>
      <c r="BMJ71" s="519" t="n"/>
      <c r="BMK71" s="519" t="n">
        <v>45341</v>
      </c>
      <c r="BMN71" s="137" t="n">
        <v>218.95</v>
      </c>
      <c r="BMO71" s="30" t="n"/>
      <c r="BMP71" s="451" t="n"/>
      <c r="BMQ71" s="34" t="n"/>
      <c r="BMR71" s="30" t="n"/>
      <c r="BMS71" s="138">
        <f>+BMO71-BMQ71-BMS71</f>
        <v/>
      </c>
      <c r="BMT71" s="533" t="n"/>
      <c r="BMU71" s="515" t="inlineStr">
        <is>
          <t>SEGUROS</t>
        </is>
      </c>
      <c r="BMV71" s="534" t="inlineStr">
        <is>
          <t>RIMAC SEGUROS</t>
        </is>
      </c>
      <c r="BMW71" s="447" t="n"/>
      <c r="BMX71" s="529" t="n">
        <v>1086478942</v>
      </c>
      <c r="BMY71" s="518" t="n"/>
      <c r="BMZ71" s="519" t="n"/>
      <c r="BNA71" s="519" t="n">
        <v>45341</v>
      </c>
      <c r="BND71" s="137" t="n">
        <v>218.95</v>
      </c>
      <c r="BNE71" s="30" t="n"/>
      <c r="BNF71" s="451" t="n"/>
      <c r="BNG71" s="34" t="n"/>
      <c r="BNH71" s="30" t="n"/>
      <c r="BNI71" s="138">
        <f>+BNE71-BNG71-BNI71</f>
        <v/>
      </c>
      <c r="BNJ71" s="533" t="n"/>
      <c r="BNK71" s="515" t="inlineStr">
        <is>
          <t>SEGUROS</t>
        </is>
      </c>
      <c r="BNL71" s="534" t="inlineStr">
        <is>
          <t>RIMAC SEGUROS</t>
        </is>
      </c>
      <c r="BNM71" s="447" t="n"/>
      <c r="BNN71" s="529" t="n">
        <v>1086478942</v>
      </c>
      <c r="BNO71" s="518" t="n"/>
      <c r="BNP71" s="519" t="n"/>
      <c r="BNQ71" s="519" t="n">
        <v>45341</v>
      </c>
      <c r="BNT71" s="137" t="n">
        <v>218.95</v>
      </c>
      <c r="BNU71" s="30" t="n"/>
      <c r="BNV71" s="451" t="n"/>
      <c r="BNW71" s="34" t="n"/>
      <c r="BNX71" s="30" t="n"/>
      <c r="BNY71" s="138">
        <f>+BNU71-BNW71-BNY71</f>
        <v/>
      </c>
      <c r="BNZ71" s="533" t="n"/>
      <c r="BOA71" s="515" t="inlineStr">
        <is>
          <t>SEGUROS</t>
        </is>
      </c>
      <c r="BOB71" s="534" t="inlineStr">
        <is>
          <t>RIMAC SEGUROS</t>
        </is>
      </c>
      <c r="BOC71" s="447" t="n"/>
      <c r="BOD71" s="529" t="n">
        <v>1086478942</v>
      </c>
      <c r="BOE71" s="518" t="n"/>
      <c r="BOF71" s="519" t="n"/>
      <c r="BOG71" s="519" t="n">
        <v>45341</v>
      </c>
      <c r="BOJ71" s="137" t="n">
        <v>218.95</v>
      </c>
      <c r="BOK71" s="30" t="n"/>
      <c r="BOL71" s="451" t="n"/>
      <c r="BOM71" s="34" t="n"/>
      <c r="BON71" s="30" t="n"/>
      <c r="BOO71" s="138">
        <f>+BOK71-BOM71-BOO71</f>
        <v/>
      </c>
      <c r="BOP71" s="533" t="n"/>
      <c r="BOQ71" s="515" t="inlineStr">
        <is>
          <t>SEGUROS</t>
        </is>
      </c>
      <c r="BOR71" s="534" t="inlineStr">
        <is>
          <t>RIMAC SEGUROS</t>
        </is>
      </c>
      <c r="BOS71" s="447" t="n"/>
      <c r="BOT71" s="529" t="n">
        <v>1086478942</v>
      </c>
      <c r="BOU71" s="518" t="n"/>
      <c r="BOV71" s="519" t="n"/>
      <c r="BOW71" s="519" t="n">
        <v>45341</v>
      </c>
      <c r="BOZ71" s="137" t="n">
        <v>218.95</v>
      </c>
      <c r="BPA71" s="30" t="n"/>
      <c r="BPB71" s="451" t="n"/>
      <c r="BPC71" s="34" t="n"/>
      <c r="BPD71" s="30" t="n"/>
      <c r="BPE71" s="138">
        <f>+BPA71-BPC71-BPE71</f>
        <v/>
      </c>
      <c r="BPF71" s="533" t="n"/>
      <c r="BPG71" s="515" t="inlineStr">
        <is>
          <t>SEGUROS</t>
        </is>
      </c>
      <c r="BPH71" s="534" t="inlineStr">
        <is>
          <t>RIMAC SEGUROS</t>
        </is>
      </c>
      <c r="BPI71" s="447" t="n"/>
      <c r="BPJ71" s="529" t="n">
        <v>1086478942</v>
      </c>
      <c r="BPK71" s="518" t="n"/>
      <c r="BPL71" s="519" t="n"/>
      <c r="BPM71" s="519" t="n">
        <v>45341</v>
      </c>
      <c r="BPP71" s="137" t="n">
        <v>218.95</v>
      </c>
      <c r="BPQ71" s="30" t="n"/>
      <c r="BPR71" s="451" t="n"/>
      <c r="BPS71" s="34" t="n"/>
      <c r="BPT71" s="30" t="n"/>
      <c r="BPU71" s="138">
        <f>+BPQ71-BPS71-BPU71</f>
        <v/>
      </c>
      <c r="BPV71" s="533" t="n"/>
      <c r="BPW71" s="515" t="inlineStr">
        <is>
          <t>SEGUROS</t>
        </is>
      </c>
      <c r="BPX71" s="534" t="inlineStr">
        <is>
          <t>RIMAC SEGUROS</t>
        </is>
      </c>
      <c r="BPY71" s="447" t="n"/>
      <c r="BPZ71" s="529" t="n">
        <v>1086478942</v>
      </c>
      <c r="BQA71" s="518" t="n"/>
      <c r="BQB71" s="519" t="n"/>
      <c r="BQC71" s="519" t="n">
        <v>45341</v>
      </c>
      <c r="BQF71" s="137" t="n">
        <v>218.95</v>
      </c>
      <c r="BQG71" s="30" t="n"/>
      <c r="BQH71" s="451" t="n"/>
      <c r="BQI71" s="34" t="n"/>
      <c r="BQJ71" s="30" t="n"/>
      <c r="BQK71" s="138">
        <f>+BQG71-BQI71-BQK71</f>
        <v/>
      </c>
      <c r="BQL71" s="533" t="n"/>
      <c r="BQM71" s="515" t="inlineStr">
        <is>
          <t>SEGUROS</t>
        </is>
      </c>
      <c r="BQN71" s="534" t="inlineStr">
        <is>
          <t>RIMAC SEGUROS</t>
        </is>
      </c>
      <c r="BQO71" s="447" t="n"/>
      <c r="BQP71" s="529" t="n">
        <v>1086478942</v>
      </c>
      <c r="BQQ71" s="518" t="n"/>
      <c r="BQR71" s="519" t="n"/>
      <c r="BQS71" s="519" t="n">
        <v>45341</v>
      </c>
      <c r="BQV71" s="137" t="n">
        <v>218.95</v>
      </c>
      <c r="BQW71" s="30" t="n"/>
      <c r="BQX71" s="451" t="n"/>
      <c r="BQY71" s="34" t="n"/>
      <c r="BQZ71" s="30" t="n"/>
      <c r="BRA71" s="138">
        <f>+BQW71-BQY71-BRA71</f>
        <v/>
      </c>
      <c r="BRB71" s="533" t="n"/>
      <c r="BRC71" s="515" t="inlineStr">
        <is>
          <t>SEGUROS</t>
        </is>
      </c>
      <c r="BRD71" s="534" t="inlineStr">
        <is>
          <t>RIMAC SEGUROS</t>
        </is>
      </c>
      <c r="BRE71" s="447" t="n"/>
      <c r="BRF71" s="529" t="n">
        <v>1086478942</v>
      </c>
      <c r="BRG71" s="518" t="n"/>
      <c r="BRH71" s="519" t="n"/>
      <c r="BRI71" s="519" t="n">
        <v>45341</v>
      </c>
      <c r="BRL71" s="137" t="n">
        <v>218.95</v>
      </c>
      <c r="BRM71" s="30" t="n"/>
      <c r="BRN71" s="451" t="n"/>
      <c r="BRO71" s="34" t="n"/>
      <c r="BRP71" s="30" t="n"/>
      <c r="BRQ71" s="138">
        <f>+BRM71-BRO71-BRQ71</f>
        <v/>
      </c>
      <c r="BRR71" s="533" t="n"/>
      <c r="BRS71" s="515" t="inlineStr">
        <is>
          <t>SEGUROS</t>
        </is>
      </c>
      <c r="BRT71" s="534" t="inlineStr">
        <is>
          <t>RIMAC SEGUROS</t>
        </is>
      </c>
      <c r="BRU71" s="447" t="n"/>
      <c r="BRV71" s="529" t="n">
        <v>1086478942</v>
      </c>
      <c r="BRW71" s="518" t="n"/>
      <c r="BRX71" s="519" t="n"/>
      <c r="BRY71" s="519" t="n">
        <v>45341</v>
      </c>
      <c r="BSB71" s="137" t="n">
        <v>218.95</v>
      </c>
      <c r="BSC71" s="30" t="n"/>
      <c r="BSD71" s="451" t="n"/>
      <c r="BSE71" s="34" t="n"/>
      <c r="BSF71" s="30" t="n"/>
      <c r="BSG71" s="138">
        <f>+BSC71-BSE71-BSG71</f>
        <v/>
      </c>
      <c r="BSH71" s="533" t="n"/>
      <c r="BSI71" s="515" t="inlineStr">
        <is>
          <t>SEGUROS</t>
        </is>
      </c>
      <c r="BSJ71" s="534" t="inlineStr">
        <is>
          <t>RIMAC SEGUROS</t>
        </is>
      </c>
      <c r="BSK71" s="447" t="n"/>
      <c r="BSL71" s="529" t="n">
        <v>1086478942</v>
      </c>
      <c r="BSM71" s="518" t="n"/>
      <c r="BSN71" s="519" t="n"/>
      <c r="BSO71" s="519" t="n">
        <v>45341</v>
      </c>
      <c r="BSR71" s="137" t="n">
        <v>218.95</v>
      </c>
      <c r="BSS71" s="30" t="n"/>
      <c r="BST71" s="451" t="n"/>
      <c r="BSU71" s="34" t="n"/>
      <c r="BSV71" s="30" t="n"/>
      <c r="BSW71" s="138">
        <f>+BSS71-BSU71-BSW71</f>
        <v/>
      </c>
      <c r="BSX71" s="533" t="n"/>
      <c r="BSY71" s="515" t="inlineStr">
        <is>
          <t>SEGUROS</t>
        </is>
      </c>
      <c r="BSZ71" s="534" t="inlineStr">
        <is>
          <t>RIMAC SEGUROS</t>
        </is>
      </c>
      <c r="BTA71" s="447" t="n"/>
      <c r="BTB71" s="529" t="n">
        <v>1086478942</v>
      </c>
      <c r="BTC71" s="518" t="n"/>
      <c r="BTD71" s="519" t="n"/>
      <c r="BTE71" s="519" t="n">
        <v>45341</v>
      </c>
      <c r="BTH71" s="137" t="n">
        <v>218.95</v>
      </c>
      <c r="BTI71" s="30" t="n"/>
      <c r="BTJ71" s="451" t="n"/>
      <c r="BTK71" s="34" t="n"/>
      <c r="BTL71" s="30" t="n"/>
      <c r="BTM71" s="138">
        <f>+BTI71-BTK71-BTM71</f>
        <v/>
      </c>
      <c r="BTN71" s="533" t="n"/>
      <c r="BTO71" s="515" t="inlineStr">
        <is>
          <t>SEGUROS</t>
        </is>
      </c>
      <c r="BTP71" s="534" t="inlineStr">
        <is>
          <t>RIMAC SEGUROS</t>
        </is>
      </c>
      <c r="BTQ71" s="447" t="n"/>
      <c r="BTR71" s="529" t="n">
        <v>1086478942</v>
      </c>
      <c r="BTS71" s="518" t="n"/>
      <c r="BTT71" s="519" t="n"/>
      <c r="BTU71" s="519" t="n">
        <v>45341</v>
      </c>
      <c r="BTX71" s="137" t="n">
        <v>218.95</v>
      </c>
      <c r="BTY71" s="30" t="n"/>
      <c r="BTZ71" s="451" t="n"/>
      <c r="BUA71" s="34" t="n"/>
      <c r="BUB71" s="30" t="n"/>
      <c r="BUC71" s="138">
        <f>+BTY71-BUA71-BUC71</f>
        <v/>
      </c>
      <c r="BUD71" s="533" t="n"/>
      <c r="BUE71" s="515" t="inlineStr">
        <is>
          <t>SEGUROS</t>
        </is>
      </c>
      <c r="BUF71" s="534" t="inlineStr">
        <is>
          <t>RIMAC SEGUROS</t>
        </is>
      </c>
      <c r="BUG71" s="447" t="n"/>
      <c r="BUH71" s="529" t="n">
        <v>1086478942</v>
      </c>
      <c r="BUI71" s="518" t="n"/>
      <c r="BUJ71" s="519" t="n"/>
      <c r="BUK71" s="519" t="n">
        <v>45341</v>
      </c>
      <c r="BUN71" s="137" t="n">
        <v>218.95</v>
      </c>
      <c r="BUO71" s="30" t="n"/>
      <c r="BUP71" s="451" t="n"/>
      <c r="BUQ71" s="34" t="n"/>
      <c r="BUR71" s="30" t="n"/>
      <c r="BUS71" s="138">
        <f>+BUO71-BUQ71-BUS71</f>
        <v/>
      </c>
      <c r="BUT71" s="533" t="n"/>
      <c r="BUU71" s="515" t="inlineStr">
        <is>
          <t>SEGUROS</t>
        </is>
      </c>
      <c r="BUV71" s="534" t="inlineStr">
        <is>
          <t>RIMAC SEGUROS</t>
        </is>
      </c>
      <c r="BUW71" s="447" t="n"/>
      <c r="BUX71" s="529" t="n">
        <v>1086478942</v>
      </c>
      <c r="BUY71" s="518" t="n"/>
      <c r="BUZ71" s="519" t="n"/>
      <c r="BVA71" s="519" t="n">
        <v>45341</v>
      </c>
      <c r="BVD71" s="137" t="n">
        <v>218.95</v>
      </c>
      <c r="BVE71" s="30" t="n"/>
      <c r="BVF71" s="451" t="n"/>
      <c r="BVG71" s="34" t="n"/>
      <c r="BVH71" s="30" t="n"/>
      <c r="BVI71" s="138">
        <f>+BVE71-BVG71-BVI71</f>
        <v/>
      </c>
      <c r="BVJ71" s="533" t="n"/>
      <c r="BVK71" s="515" t="inlineStr">
        <is>
          <t>SEGUROS</t>
        </is>
      </c>
      <c r="BVL71" s="534" t="inlineStr">
        <is>
          <t>RIMAC SEGUROS</t>
        </is>
      </c>
      <c r="BVM71" s="447" t="n"/>
      <c r="BVN71" s="529" t="n">
        <v>1086478942</v>
      </c>
      <c r="BVO71" s="518" t="n"/>
      <c r="BVP71" s="519" t="n"/>
      <c r="BVQ71" s="519" t="n">
        <v>45341</v>
      </c>
      <c r="BVT71" s="137" t="n">
        <v>218.95</v>
      </c>
      <c r="BVU71" s="30" t="n"/>
      <c r="BVV71" s="451" t="n"/>
      <c r="BVW71" s="34" t="n"/>
      <c r="BVX71" s="30" t="n"/>
      <c r="BVY71" s="138">
        <f>+BVU71-BVW71-BVY71</f>
        <v/>
      </c>
      <c r="BVZ71" s="533" t="n"/>
      <c r="BWA71" s="515" t="inlineStr">
        <is>
          <t>SEGUROS</t>
        </is>
      </c>
      <c r="BWB71" s="534" t="inlineStr">
        <is>
          <t>RIMAC SEGUROS</t>
        </is>
      </c>
      <c r="BWC71" s="447" t="n"/>
      <c r="BWD71" s="529" t="n">
        <v>1086478942</v>
      </c>
      <c r="BWE71" s="518" t="n"/>
      <c r="BWF71" s="519" t="n"/>
      <c r="BWG71" s="519" t="n">
        <v>45341</v>
      </c>
      <c r="BWJ71" s="137" t="n">
        <v>218.95</v>
      </c>
      <c r="BWK71" s="30" t="n"/>
      <c r="BWL71" s="451" t="n"/>
      <c r="BWM71" s="34" t="n"/>
      <c r="BWN71" s="30" t="n"/>
      <c r="BWO71" s="138">
        <f>+BWK71-BWM71-BWO71</f>
        <v/>
      </c>
      <c r="BWP71" s="533" t="n"/>
      <c r="BWQ71" s="515" t="inlineStr">
        <is>
          <t>SEGUROS</t>
        </is>
      </c>
      <c r="BWR71" s="534" t="inlineStr">
        <is>
          <t>RIMAC SEGUROS</t>
        </is>
      </c>
      <c r="BWS71" s="447" t="n"/>
      <c r="BWT71" s="529" t="n">
        <v>1086478942</v>
      </c>
      <c r="BWU71" s="518" t="n"/>
      <c r="BWV71" s="519" t="n"/>
      <c r="BWW71" s="519" t="n">
        <v>45341</v>
      </c>
      <c r="BWZ71" s="137" t="n">
        <v>218.95</v>
      </c>
      <c r="BXA71" s="30" t="n"/>
      <c r="BXB71" s="451" t="n"/>
      <c r="BXC71" s="34" t="n"/>
      <c r="BXD71" s="30" t="n"/>
      <c r="BXE71" s="138">
        <f>+BXA71-BXC71-BXE71</f>
        <v/>
      </c>
      <c r="BXF71" s="533" t="n"/>
      <c r="BXG71" s="515" t="inlineStr">
        <is>
          <t>SEGUROS</t>
        </is>
      </c>
      <c r="BXH71" s="534" t="inlineStr">
        <is>
          <t>RIMAC SEGUROS</t>
        </is>
      </c>
      <c r="BXI71" s="447" t="n"/>
      <c r="BXJ71" s="529" t="n">
        <v>1086478942</v>
      </c>
      <c r="BXK71" s="518" t="n"/>
      <c r="BXL71" s="519" t="n"/>
      <c r="BXM71" s="519" t="n">
        <v>45341</v>
      </c>
      <c r="BXP71" s="137" t="n">
        <v>218.95</v>
      </c>
      <c r="BXQ71" s="30" t="n"/>
      <c r="BXR71" s="451" t="n"/>
      <c r="BXS71" s="34" t="n"/>
      <c r="BXT71" s="30" t="n"/>
      <c r="BXU71" s="138">
        <f>+BXQ71-BXS71-BXU71</f>
        <v/>
      </c>
      <c r="BXV71" s="533" t="n"/>
      <c r="BXW71" s="515" t="inlineStr">
        <is>
          <t>SEGUROS</t>
        </is>
      </c>
      <c r="BXX71" s="534" t="inlineStr">
        <is>
          <t>RIMAC SEGUROS</t>
        </is>
      </c>
      <c r="BXY71" s="447" t="n"/>
      <c r="BXZ71" s="529" t="n">
        <v>1086478942</v>
      </c>
      <c r="BYA71" s="518" t="n"/>
      <c r="BYB71" s="519" t="n"/>
      <c r="BYC71" s="519" t="n">
        <v>45341</v>
      </c>
      <c r="BYF71" s="137" t="n">
        <v>218.95</v>
      </c>
      <c r="BYG71" s="30" t="n"/>
      <c r="BYH71" s="451" t="n"/>
      <c r="BYI71" s="34" t="n"/>
      <c r="BYJ71" s="30" t="n"/>
      <c r="BYK71" s="138">
        <f>+BYG71-BYI71-BYK71</f>
        <v/>
      </c>
      <c r="BYL71" s="533" t="n"/>
      <c r="BYM71" s="515" t="inlineStr">
        <is>
          <t>SEGUROS</t>
        </is>
      </c>
      <c r="BYN71" s="534" t="inlineStr">
        <is>
          <t>RIMAC SEGUROS</t>
        </is>
      </c>
      <c r="BYO71" s="447" t="n"/>
      <c r="BYP71" s="529" t="n">
        <v>1086478942</v>
      </c>
      <c r="BYQ71" s="518" t="n"/>
      <c r="BYR71" s="519" t="n"/>
      <c r="BYS71" s="519" t="n">
        <v>45341</v>
      </c>
      <c r="BYV71" s="137" t="n">
        <v>218.95</v>
      </c>
      <c r="BYW71" s="30" t="n"/>
      <c r="BYX71" s="451" t="n"/>
      <c r="BYY71" s="34" t="n"/>
      <c r="BYZ71" s="30" t="n"/>
      <c r="BZA71" s="138">
        <f>+BYW71-BYY71-BZA71</f>
        <v/>
      </c>
      <c r="BZB71" s="533" t="n"/>
      <c r="BZC71" s="515" t="inlineStr">
        <is>
          <t>SEGUROS</t>
        </is>
      </c>
      <c r="BZD71" s="534" t="inlineStr">
        <is>
          <t>RIMAC SEGUROS</t>
        </is>
      </c>
      <c r="BZE71" s="447" t="n"/>
      <c r="BZF71" s="529" t="n">
        <v>1086478942</v>
      </c>
      <c r="BZG71" s="518" t="n"/>
      <c r="BZH71" s="519" t="n"/>
      <c r="BZI71" s="519" t="n">
        <v>45341</v>
      </c>
      <c r="BZL71" s="137" t="n">
        <v>218.95</v>
      </c>
      <c r="BZM71" s="30" t="n"/>
      <c r="BZN71" s="451" t="n"/>
      <c r="BZO71" s="34" t="n"/>
      <c r="BZP71" s="30" t="n"/>
      <c r="BZQ71" s="138">
        <f>+BZM71-BZO71-BZQ71</f>
        <v/>
      </c>
      <c r="BZR71" s="533" t="n"/>
      <c r="BZS71" s="515" t="inlineStr">
        <is>
          <t>SEGUROS</t>
        </is>
      </c>
      <c r="BZT71" s="534" t="inlineStr">
        <is>
          <t>RIMAC SEGUROS</t>
        </is>
      </c>
      <c r="BZU71" s="447" t="n"/>
      <c r="BZV71" s="529" t="n">
        <v>1086478942</v>
      </c>
      <c r="BZW71" s="518" t="n"/>
      <c r="BZX71" s="519" t="n"/>
      <c r="BZY71" s="519" t="n">
        <v>45341</v>
      </c>
      <c r="CAB71" s="137" t="n">
        <v>218.95</v>
      </c>
      <c r="CAC71" s="30" t="n"/>
      <c r="CAD71" s="451" t="n"/>
      <c r="CAE71" s="34" t="n"/>
      <c r="CAF71" s="30" t="n"/>
      <c r="CAG71" s="138">
        <f>+CAC71-CAE71-CAG71</f>
        <v/>
      </c>
      <c r="CAH71" s="533" t="n"/>
      <c r="CAI71" s="515" t="inlineStr">
        <is>
          <t>SEGUROS</t>
        </is>
      </c>
      <c r="CAJ71" s="534" t="inlineStr">
        <is>
          <t>RIMAC SEGUROS</t>
        </is>
      </c>
      <c r="CAK71" s="447" t="n"/>
      <c r="CAL71" s="529" t="n">
        <v>1086478942</v>
      </c>
      <c r="CAM71" s="518" t="n"/>
      <c r="CAN71" s="519" t="n"/>
      <c r="CAO71" s="519" t="n">
        <v>45341</v>
      </c>
      <c r="CAR71" s="137" t="n">
        <v>218.95</v>
      </c>
      <c r="CAS71" s="30" t="n"/>
      <c r="CAT71" s="451" t="n"/>
      <c r="CAU71" s="34" t="n"/>
      <c r="CAV71" s="30" t="n"/>
      <c r="CAW71" s="138">
        <f>+CAS71-CAU71-CAW71</f>
        <v/>
      </c>
      <c r="CAX71" s="533" t="n"/>
      <c r="CAY71" s="515" t="inlineStr">
        <is>
          <t>SEGUROS</t>
        </is>
      </c>
      <c r="CAZ71" s="534" t="inlineStr">
        <is>
          <t>RIMAC SEGUROS</t>
        </is>
      </c>
      <c r="CBA71" s="447" t="n"/>
      <c r="CBB71" s="529" t="n">
        <v>1086478942</v>
      </c>
      <c r="CBC71" s="518" t="n"/>
      <c r="CBD71" s="519" t="n"/>
      <c r="CBE71" s="519" t="n">
        <v>45341</v>
      </c>
      <c r="CBH71" s="137" t="n">
        <v>218.95</v>
      </c>
      <c r="CBI71" s="30" t="n"/>
      <c r="CBJ71" s="451" t="n"/>
      <c r="CBK71" s="34" t="n"/>
      <c r="CBL71" s="30" t="n"/>
      <c r="CBM71" s="138">
        <f>+CBI71-CBK71-CBM71</f>
        <v/>
      </c>
      <c r="CBN71" s="533" t="n"/>
      <c r="CBO71" s="515" t="inlineStr">
        <is>
          <t>SEGUROS</t>
        </is>
      </c>
      <c r="CBP71" s="534" t="inlineStr">
        <is>
          <t>RIMAC SEGUROS</t>
        </is>
      </c>
      <c r="CBQ71" s="447" t="n"/>
      <c r="CBR71" s="529" t="n">
        <v>1086478942</v>
      </c>
      <c r="CBS71" s="518" t="n"/>
      <c r="CBT71" s="519" t="n"/>
      <c r="CBU71" s="519" t="n">
        <v>45341</v>
      </c>
      <c r="CBX71" s="137" t="n">
        <v>218.95</v>
      </c>
      <c r="CBY71" s="30" t="n"/>
      <c r="CBZ71" s="451" t="n"/>
      <c r="CCA71" s="34" t="n"/>
      <c r="CCB71" s="30" t="n"/>
      <c r="CCC71" s="138">
        <f>+CBY71-CCA71-CCC71</f>
        <v/>
      </c>
      <c r="CCD71" s="533" t="n"/>
      <c r="CCE71" s="515" t="inlineStr">
        <is>
          <t>SEGUROS</t>
        </is>
      </c>
      <c r="CCF71" s="534" t="inlineStr">
        <is>
          <t>RIMAC SEGUROS</t>
        </is>
      </c>
      <c r="CCG71" s="447" t="n"/>
      <c r="CCH71" s="529" t="n">
        <v>1086478942</v>
      </c>
      <c r="CCI71" s="518" t="n"/>
      <c r="CCJ71" s="519" t="n"/>
      <c r="CCK71" s="519" t="n">
        <v>45341</v>
      </c>
      <c r="CCN71" s="137" t="n">
        <v>218.95</v>
      </c>
      <c r="CCO71" s="30" t="n"/>
      <c r="CCP71" s="451" t="n"/>
      <c r="CCQ71" s="34" t="n"/>
      <c r="CCR71" s="30" t="n"/>
      <c r="CCS71" s="138">
        <f>+CCO71-CCQ71-CCS71</f>
        <v/>
      </c>
      <c r="CCT71" s="533" t="n"/>
      <c r="CCU71" s="515" t="inlineStr">
        <is>
          <t>SEGUROS</t>
        </is>
      </c>
      <c r="CCV71" s="534" t="inlineStr">
        <is>
          <t>RIMAC SEGUROS</t>
        </is>
      </c>
      <c r="CCW71" s="447" t="n"/>
      <c r="CCX71" s="529" t="n">
        <v>1086478942</v>
      </c>
      <c r="CCY71" s="518" t="n"/>
      <c r="CCZ71" s="519" t="n"/>
      <c r="CDA71" s="519" t="n">
        <v>45341</v>
      </c>
      <c r="CDD71" s="137" t="n">
        <v>218.95</v>
      </c>
      <c r="CDE71" s="30" t="n"/>
      <c r="CDF71" s="451" t="n"/>
      <c r="CDG71" s="34" t="n"/>
      <c r="CDH71" s="30" t="n"/>
      <c r="CDI71" s="138">
        <f>+CDE71-CDG71-CDI71</f>
        <v/>
      </c>
      <c r="CDJ71" s="533" t="n"/>
      <c r="CDK71" s="515" t="inlineStr">
        <is>
          <t>SEGUROS</t>
        </is>
      </c>
      <c r="CDL71" s="534" t="inlineStr">
        <is>
          <t>RIMAC SEGUROS</t>
        </is>
      </c>
      <c r="CDM71" s="447" t="n"/>
      <c r="CDN71" s="529" t="n">
        <v>1086478942</v>
      </c>
      <c r="CDO71" s="518" t="n"/>
      <c r="CDP71" s="519" t="n"/>
      <c r="CDQ71" s="519" t="n">
        <v>45341</v>
      </c>
      <c r="CDT71" s="137" t="n">
        <v>218.95</v>
      </c>
      <c r="CDU71" s="30" t="n"/>
      <c r="CDV71" s="451" t="n"/>
      <c r="CDW71" s="34" t="n"/>
      <c r="CDX71" s="30" t="n"/>
      <c r="CDY71" s="138">
        <f>+CDU71-CDW71-CDY71</f>
        <v/>
      </c>
      <c r="CDZ71" s="533" t="n"/>
      <c r="CEA71" s="515" t="inlineStr">
        <is>
          <t>SEGUROS</t>
        </is>
      </c>
      <c r="CEB71" s="534" t="inlineStr">
        <is>
          <t>RIMAC SEGUROS</t>
        </is>
      </c>
      <c r="CEC71" s="447" t="n"/>
      <c r="CED71" s="529" t="n">
        <v>1086478942</v>
      </c>
      <c r="CEE71" s="518" t="n"/>
      <c r="CEF71" s="519" t="n"/>
      <c r="CEG71" s="519" t="n">
        <v>45341</v>
      </c>
      <c r="CEJ71" s="137" t="n">
        <v>218.95</v>
      </c>
      <c r="CEK71" s="30" t="n"/>
      <c r="CEL71" s="451" t="n"/>
      <c r="CEM71" s="34" t="n"/>
      <c r="CEN71" s="30" t="n"/>
      <c r="CEO71" s="138">
        <f>+CEK71-CEM71-CEO71</f>
        <v/>
      </c>
      <c r="CEP71" s="533" t="n"/>
      <c r="CEQ71" s="515" t="inlineStr">
        <is>
          <t>SEGUROS</t>
        </is>
      </c>
      <c r="CER71" s="534" t="inlineStr">
        <is>
          <t>RIMAC SEGUROS</t>
        </is>
      </c>
      <c r="CES71" s="447" t="n"/>
      <c r="CET71" s="529" t="n">
        <v>1086478942</v>
      </c>
      <c r="CEU71" s="518" t="n"/>
      <c r="CEV71" s="519" t="n"/>
      <c r="CEW71" s="519" t="n">
        <v>45341</v>
      </c>
      <c r="CEZ71" s="137" t="n">
        <v>218.95</v>
      </c>
      <c r="CFA71" s="30" t="n"/>
      <c r="CFB71" s="451" t="n"/>
      <c r="CFC71" s="34" t="n"/>
      <c r="CFD71" s="30" t="n"/>
      <c r="CFE71" s="138">
        <f>+CFA71-CFC71-CFE71</f>
        <v/>
      </c>
      <c r="CFF71" s="533" t="n"/>
      <c r="CFG71" s="515" t="inlineStr">
        <is>
          <t>SEGUROS</t>
        </is>
      </c>
      <c r="CFH71" s="534" t="inlineStr">
        <is>
          <t>RIMAC SEGUROS</t>
        </is>
      </c>
      <c r="CFI71" s="447" t="n"/>
      <c r="CFJ71" s="529" t="n">
        <v>1086478942</v>
      </c>
      <c r="CFK71" s="518" t="n"/>
      <c r="CFL71" s="519" t="n"/>
      <c r="CFM71" s="519" t="n">
        <v>45341</v>
      </c>
      <c r="CFP71" s="137" t="n">
        <v>218.95</v>
      </c>
      <c r="CFQ71" s="30" t="n"/>
      <c r="CFR71" s="451" t="n"/>
      <c r="CFS71" s="34" t="n"/>
      <c r="CFT71" s="30" t="n"/>
      <c r="CFU71" s="138">
        <f>+CFQ71-CFS71-CFU71</f>
        <v/>
      </c>
      <c r="CFV71" s="533" t="n"/>
      <c r="CFW71" s="515" t="inlineStr">
        <is>
          <t>SEGUROS</t>
        </is>
      </c>
      <c r="CFX71" s="534" t="inlineStr">
        <is>
          <t>RIMAC SEGUROS</t>
        </is>
      </c>
      <c r="CFY71" s="447" t="n"/>
      <c r="CFZ71" s="529" t="n">
        <v>1086478942</v>
      </c>
      <c r="CGA71" s="518" t="n"/>
      <c r="CGB71" s="519" t="n"/>
      <c r="CGC71" s="519" t="n">
        <v>45341</v>
      </c>
      <c r="CGF71" s="137" t="n">
        <v>218.95</v>
      </c>
      <c r="CGG71" s="30" t="n"/>
      <c r="CGH71" s="451" t="n"/>
      <c r="CGI71" s="34" t="n"/>
      <c r="CGJ71" s="30" t="n"/>
      <c r="CGK71" s="138">
        <f>+CGG71-CGI71-CGK71</f>
        <v/>
      </c>
      <c r="CGL71" s="533" t="n"/>
      <c r="CGM71" s="515" t="inlineStr">
        <is>
          <t>SEGUROS</t>
        </is>
      </c>
      <c r="CGN71" s="534" t="inlineStr">
        <is>
          <t>RIMAC SEGUROS</t>
        </is>
      </c>
      <c r="CGO71" s="447" t="n"/>
      <c r="CGP71" s="529" t="n">
        <v>1086478942</v>
      </c>
      <c r="CGQ71" s="518" t="n"/>
      <c r="CGR71" s="519" t="n"/>
      <c r="CGS71" s="519" t="n">
        <v>45341</v>
      </c>
      <c r="CGV71" s="137" t="n">
        <v>218.95</v>
      </c>
      <c r="CGW71" s="30" t="n"/>
      <c r="CGX71" s="451" t="n"/>
      <c r="CGY71" s="34" t="n"/>
      <c r="CGZ71" s="30" t="n"/>
      <c r="CHA71" s="138">
        <f>+CGW71-CGY71-CHA71</f>
        <v/>
      </c>
      <c r="CHB71" s="533" t="n"/>
      <c r="CHC71" s="515" t="inlineStr">
        <is>
          <t>SEGUROS</t>
        </is>
      </c>
      <c r="CHD71" s="534" t="inlineStr">
        <is>
          <t>RIMAC SEGUROS</t>
        </is>
      </c>
      <c r="CHE71" s="447" t="n"/>
      <c r="CHF71" s="529" t="n">
        <v>1086478942</v>
      </c>
      <c r="CHG71" s="518" t="n"/>
      <c r="CHH71" s="519" t="n"/>
      <c r="CHI71" s="519" t="n">
        <v>45341</v>
      </c>
      <c r="CHL71" s="137" t="n">
        <v>218.95</v>
      </c>
      <c r="CHM71" s="30" t="n"/>
      <c r="CHN71" s="451" t="n"/>
      <c r="CHO71" s="34" t="n"/>
      <c r="CHP71" s="30" t="n"/>
      <c r="CHQ71" s="138">
        <f>+CHM71-CHO71-CHQ71</f>
        <v/>
      </c>
      <c r="CHR71" s="533" t="n"/>
      <c r="CHS71" s="515" t="inlineStr">
        <is>
          <t>SEGUROS</t>
        </is>
      </c>
      <c r="CHT71" s="534" t="inlineStr">
        <is>
          <t>RIMAC SEGUROS</t>
        </is>
      </c>
      <c r="CHU71" s="447" t="n"/>
      <c r="CHV71" s="529" t="n">
        <v>1086478942</v>
      </c>
      <c r="CHW71" s="518" t="n"/>
      <c r="CHX71" s="519" t="n"/>
      <c r="CHY71" s="519" t="n">
        <v>45341</v>
      </c>
      <c r="CIB71" s="137" t="n">
        <v>218.95</v>
      </c>
      <c r="CIC71" s="30" t="n"/>
      <c r="CID71" s="451" t="n"/>
      <c r="CIE71" s="34" t="n"/>
      <c r="CIF71" s="30" t="n"/>
      <c r="CIG71" s="138">
        <f>+CIC71-CIE71-CIG71</f>
        <v/>
      </c>
      <c r="CIH71" s="533" t="n"/>
      <c r="CII71" s="515" t="inlineStr">
        <is>
          <t>SEGUROS</t>
        </is>
      </c>
      <c r="CIJ71" s="534" t="inlineStr">
        <is>
          <t>RIMAC SEGUROS</t>
        </is>
      </c>
      <c r="CIK71" s="447" t="n"/>
      <c r="CIL71" s="529" t="n">
        <v>1086478942</v>
      </c>
      <c r="CIM71" s="518" t="n"/>
      <c r="CIN71" s="519" t="n"/>
      <c r="CIO71" s="519" t="n">
        <v>45341</v>
      </c>
      <c r="CIR71" s="137" t="n">
        <v>218.95</v>
      </c>
      <c r="CIS71" s="30" t="n"/>
      <c r="CIT71" s="451" t="n"/>
      <c r="CIU71" s="34" t="n"/>
      <c r="CIV71" s="30" t="n"/>
      <c r="CIW71" s="138">
        <f>+CIS71-CIU71-CIW71</f>
        <v/>
      </c>
      <c r="CIX71" s="533" t="n"/>
      <c r="CIY71" s="515" t="inlineStr">
        <is>
          <t>SEGUROS</t>
        </is>
      </c>
      <c r="CIZ71" s="534" t="inlineStr">
        <is>
          <t>RIMAC SEGUROS</t>
        </is>
      </c>
      <c r="CJA71" s="447" t="n"/>
      <c r="CJB71" s="529" t="n">
        <v>1086478942</v>
      </c>
      <c r="CJC71" s="518" t="n"/>
      <c r="CJD71" s="519" t="n"/>
      <c r="CJE71" s="519" t="n">
        <v>45341</v>
      </c>
      <c r="CJH71" s="137" t="n">
        <v>218.95</v>
      </c>
      <c r="CJI71" s="30" t="n"/>
      <c r="CJJ71" s="451" t="n"/>
      <c r="CJK71" s="34" t="n"/>
      <c r="CJL71" s="30" t="n"/>
      <c r="CJM71" s="138">
        <f>+CJI71-CJK71-CJM71</f>
        <v/>
      </c>
      <c r="CJN71" s="533" t="n"/>
      <c r="CJO71" s="515" t="inlineStr">
        <is>
          <t>SEGUROS</t>
        </is>
      </c>
      <c r="CJP71" s="534" t="inlineStr">
        <is>
          <t>RIMAC SEGUROS</t>
        </is>
      </c>
      <c r="CJQ71" s="447" t="n"/>
      <c r="CJR71" s="529" t="n">
        <v>1086478942</v>
      </c>
      <c r="CJS71" s="518" t="n"/>
      <c r="CJT71" s="519" t="n"/>
      <c r="CJU71" s="519" t="n">
        <v>45341</v>
      </c>
      <c r="CJX71" s="137" t="n">
        <v>218.95</v>
      </c>
      <c r="CJY71" s="30" t="n"/>
      <c r="CJZ71" s="451" t="n"/>
      <c r="CKA71" s="34" t="n"/>
      <c r="CKB71" s="30" t="n"/>
      <c r="CKC71" s="138">
        <f>+CJY71-CKA71-CKC71</f>
        <v/>
      </c>
      <c r="CKD71" s="533" t="n"/>
      <c r="CKE71" s="515" t="inlineStr">
        <is>
          <t>SEGUROS</t>
        </is>
      </c>
      <c r="CKF71" s="534" t="inlineStr">
        <is>
          <t>RIMAC SEGUROS</t>
        </is>
      </c>
      <c r="CKG71" s="447" t="n"/>
      <c r="CKH71" s="529" t="n">
        <v>1086478942</v>
      </c>
      <c r="CKI71" s="518" t="n"/>
      <c r="CKJ71" s="519" t="n"/>
      <c r="CKK71" s="519" t="n">
        <v>45341</v>
      </c>
      <c r="CKN71" s="137" t="n">
        <v>218.95</v>
      </c>
      <c r="CKO71" s="30" t="n"/>
      <c r="CKP71" s="451" t="n"/>
      <c r="CKQ71" s="34" t="n"/>
      <c r="CKR71" s="30" t="n"/>
      <c r="CKS71" s="138">
        <f>+CKO71-CKQ71-CKS71</f>
        <v/>
      </c>
      <c r="CKT71" s="533" t="n"/>
      <c r="CKU71" s="515" t="inlineStr">
        <is>
          <t>SEGUROS</t>
        </is>
      </c>
      <c r="CKV71" s="534" t="inlineStr">
        <is>
          <t>RIMAC SEGUROS</t>
        </is>
      </c>
      <c r="CKW71" s="447" t="n"/>
      <c r="CKX71" s="529" t="n">
        <v>1086478942</v>
      </c>
      <c r="CKY71" s="518" t="n"/>
      <c r="CKZ71" s="519" t="n"/>
      <c r="CLA71" s="519" t="n">
        <v>45341</v>
      </c>
      <c r="CLD71" s="137" t="n">
        <v>218.95</v>
      </c>
      <c r="CLE71" s="30" t="n"/>
      <c r="CLF71" s="451" t="n"/>
      <c r="CLG71" s="34" t="n"/>
      <c r="CLH71" s="30" t="n"/>
      <c r="CLI71" s="138">
        <f>+CLE71-CLG71-CLI71</f>
        <v/>
      </c>
      <c r="CLJ71" s="533" t="n"/>
      <c r="CLK71" s="515" t="inlineStr">
        <is>
          <t>SEGUROS</t>
        </is>
      </c>
      <c r="CLL71" s="534" t="inlineStr">
        <is>
          <t>RIMAC SEGUROS</t>
        </is>
      </c>
      <c r="CLM71" s="447" t="n"/>
      <c r="CLN71" s="529" t="n">
        <v>1086478942</v>
      </c>
      <c r="CLO71" s="518" t="n"/>
      <c r="CLP71" s="519" t="n"/>
      <c r="CLQ71" s="519" t="n">
        <v>45341</v>
      </c>
      <c r="CLT71" s="137" t="n">
        <v>218.95</v>
      </c>
      <c r="CLU71" s="30" t="n"/>
      <c r="CLV71" s="451" t="n"/>
      <c r="CLW71" s="34" t="n"/>
      <c r="CLX71" s="30" t="n"/>
      <c r="CLY71" s="138">
        <f>+CLU71-CLW71-CLY71</f>
        <v/>
      </c>
      <c r="CLZ71" s="533" t="n"/>
      <c r="CMA71" s="515" t="inlineStr">
        <is>
          <t>SEGUROS</t>
        </is>
      </c>
      <c r="CMB71" s="534" t="inlineStr">
        <is>
          <t>RIMAC SEGUROS</t>
        </is>
      </c>
      <c r="CMC71" s="447" t="n"/>
      <c r="CMD71" s="529" t="n">
        <v>1086478942</v>
      </c>
      <c r="CME71" s="518" t="n"/>
      <c r="CMF71" s="519" t="n"/>
      <c r="CMG71" s="519" t="n">
        <v>45341</v>
      </c>
      <c r="CMJ71" s="137" t="n">
        <v>218.95</v>
      </c>
      <c r="CMK71" s="30" t="n"/>
      <c r="CML71" s="451" t="n"/>
      <c r="CMM71" s="34" t="n"/>
      <c r="CMN71" s="30" t="n"/>
      <c r="CMO71" s="138">
        <f>+CMK71-CMM71-CMO71</f>
        <v/>
      </c>
      <c r="CMP71" s="533" t="n"/>
      <c r="CMQ71" s="515" t="inlineStr">
        <is>
          <t>SEGUROS</t>
        </is>
      </c>
      <c r="CMR71" s="534" t="inlineStr">
        <is>
          <t>RIMAC SEGUROS</t>
        </is>
      </c>
      <c r="CMS71" s="447" t="n"/>
      <c r="CMT71" s="529" t="n">
        <v>1086478942</v>
      </c>
      <c r="CMU71" s="518" t="n"/>
      <c r="CMV71" s="519" t="n"/>
      <c r="CMW71" s="519" t="n">
        <v>45341</v>
      </c>
      <c r="CMZ71" s="137" t="n">
        <v>218.95</v>
      </c>
      <c r="CNA71" s="30" t="n"/>
      <c r="CNB71" s="451" t="n"/>
      <c r="CNC71" s="34" t="n"/>
      <c r="CND71" s="30" t="n"/>
      <c r="CNE71" s="138">
        <f>+CNA71-CNC71-CNE71</f>
        <v/>
      </c>
      <c r="CNF71" s="533" t="n"/>
      <c r="CNG71" s="515" t="inlineStr">
        <is>
          <t>SEGUROS</t>
        </is>
      </c>
      <c r="CNH71" s="534" t="inlineStr">
        <is>
          <t>RIMAC SEGUROS</t>
        </is>
      </c>
      <c r="CNI71" s="447" t="n"/>
      <c r="CNJ71" s="529" t="n">
        <v>1086478942</v>
      </c>
      <c r="CNK71" s="518" t="n"/>
      <c r="CNL71" s="519" t="n"/>
      <c r="CNM71" s="519" t="n">
        <v>45341</v>
      </c>
      <c r="CNP71" s="137" t="n">
        <v>218.95</v>
      </c>
      <c r="CNQ71" s="30" t="n"/>
      <c r="CNR71" s="451" t="n"/>
      <c r="CNS71" s="34" t="n"/>
      <c r="CNT71" s="30" t="n"/>
      <c r="CNU71" s="138">
        <f>+CNQ71-CNS71-CNU71</f>
        <v/>
      </c>
      <c r="CNV71" s="533" t="n"/>
      <c r="CNW71" s="515" t="inlineStr">
        <is>
          <t>SEGUROS</t>
        </is>
      </c>
      <c r="CNX71" s="534" t="inlineStr">
        <is>
          <t>RIMAC SEGUROS</t>
        </is>
      </c>
      <c r="CNY71" s="447" t="n"/>
      <c r="CNZ71" s="529" t="n">
        <v>1086478942</v>
      </c>
      <c r="COA71" s="518" t="n"/>
      <c r="COB71" s="519" t="n"/>
      <c r="COC71" s="519" t="n">
        <v>45341</v>
      </c>
      <c r="COF71" s="137" t="n">
        <v>218.95</v>
      </c>
      <c r="COG71" s="30" t="n"/>
      <c r="COH71" s="451" t="n"/>
      <c r="COI71" s="34" t="n"/>
      <c r="COJ71" s="30" t="n"/>
      <c r="COK71" s="138">
        <f>+COG71-COI71-COK71</f>
        <v/>
      </c>
      <c r="COL71" s="533" t="n"/>
      <c r="COM71" s="515" t="inlineStr">
        <is>
          <t>SEGUROS</t>
        </is>
      </c>
      <c r="CON71" s="534" t="inlineStr">
        <is>
          <t>RIMAC SEGUROS</t>
        </is>
      </c>
      <c r="COO71" s="447" t="n"/>
      <c r="COP71" s="529" t="n">
        <v>1086478942</v>
      </c>
      <c r="COQ71" s="518" t="n"/>
      <c r="COR71" s="519" t="n"/>
      <c r="COS71" s="519" t="n">
        <v>45341</v>
      </c>
      <c r="COV71" s="137" t="n">
        <v>218.95</v>
      </c>
      <c r="COW71" s="30" t="n"/>
      <c r="COX71" s="451" t="n"/>
      <c r="COY71" s="34" t="n"/>
      <c r="COZ71" s="30" t="n"/>
      <c r="CPA71" s="138">
        <f>+COW71-COY71-CPA71</f>
        <v/>
      </c>
      <c r="CPB71" s="533" t="n"/>
      <c r="CPC71" s="515" t="inlineStr">
        <is>
          <t>SEGUROS</t>
        </is>
      </c>
      <c r="CPD71" s="534" t="inlineStr">
        <is>
          <t>RIMAC SEGUROS</t>
        </is>
      </c>
      <c r="CPE71" s="447" t="n"/>
      <c r="CPF71" s="529" t="n">
        <v>1086478942</v>
      </c>
      <c r="CPG71" s="518" t="n"/>
      <c r="CPH71" s="519" t="n"/>
      <c r="CPI71" s="519" t="n">
        <v>45341</v>
      </c>
      <c r="CPL71" s="137" t="n">
        <v>218.95</v>
      </c>
      <c r="CPM71" s="30" t="n"/>
      <c r="CPN71" s="451" t="n"/>
      <c r="CPO71" s="34" t="n"/>
      <c r="CPP71" s="30" t="n"/>
      <c r="CPQ71" s="138">
        <f>+CPM71-CPO71-CPQ71</f>
        <v/>
      </c>
      <c r="CPR71" s="533" t="n"/>
      <c r="CPS71" s="515" t="inlineStr">
        <is>
          <t>SEGUROS</t>
        </is>
      </c>
      <c r="CPT71" s="534" t="inlineStr">
        <is>
          <t>RIMAC SEGUROS</t>
        </is>
      </c>
      <c r="CPU71" s="447" t="n"/>
      <c r="CPV71" s="529" t="n">
        <v>1086478942</v>
      </c>
      <c r="CPW71" s="518" t="n"/>
      <c r="CPX71" s="519" t="n"/>
      <c r="CPY71" s="519" t="n">
        <v>45341</v>
      </c>
      <c r="CQB71" s="137" t="n">
        <v>218.95</v>
      </c>
      <c r="CQC71" s="30" t="n"/>
      <c r="CQD71" s="451" t="n"/>
      <c r="CQE71" s="34" t="n"/>
      <c r="CQF71" s="30" t="n"/>
      <c r="CQG71" s="138">
        <f>+CQC71-CQE71-CQG71</f>
        <v/>
      </c>
      <c r="CQH71" s="533" t="n"/>
      <c r="CQI71" s="515" t="inlineStr">
        <is>
          <t>SEGUROS</t>
        </is>
      </c>
      <c r="CQJ71" s="534" t="inlineStr">
        <is>
          <t>RIMAC SEGUROS</t>
        </is>
      </c>
      <c r="CQK71" s="447" t="n"/>
      <c r="CQL71" s="529" t="n">
        <v>1086478942</v>
      </c>
      <c r="CQM71" s="518" t="n"/>
      <c r="CQN71" s="519" t="n"/>
      <c r="CQO71" s="519" t="n">
        <v>45341</v>
      </c>
      <c r="CQR71" s="137" t="n">
        <v>218.95</v>
      </c>
      <c r="CQS71" s="30" t="n"/>
      <c r="CQT71" s="451" t="n"/>
      <c r="CQU71" s="34" t="n"/>
      <c r="CQV71" s="30" t="n"/>
      <c r="CQW71" s="138">
        <f>+CQS71-CQU71-CQW71</f>
        <v/>
      </c>
      <c r="CQX71" s="533" t="n"/>
      <c r="CQY71" s="515" t="inlineStr">
        <is>
          <t>SEGUROS</t>
        </is>
      </c>
      <c r="CQZ71" s="534" t="inlineStr">
        <is>
          <t>RIMAC SEGUROS</t>
        </is>
      </c>
      <c r="CRA71" s="447" t="n"/>
      <c r="CRB71" s="529" t="n">
        <v>1086478942</v>
      </c>
      <c r="CRC71" s="518" t="n"/>
      <c r="CRD71" s="519" t="n"/>
      <c r="CRE71" s="519" t="n">
        <v>45341</v>
      </c>
      <c r="CRH71" s="137" t="n">
        <v>218.95</v>
      </c>
      <c r="CRI71" s="30" t="n"/>
      <c r="CRJ71" s="451" t="n"/>
      <c r="CRK71" s="34" t="n"/>
      <c r="CRL71" s="30" t="n"/>
      <c r="CRM71" s="138">
        <f>+CRI71-CRK71-CRM71</f>
        <v/>
      </c>
      <c r="CRN71" s="533" t="n"/>
      <c r="CRO71" s="515" t="inlineStr">
        <is>
          <t>SEGUROS</t>
        </is>
      </c>
      <c r="CRP71" s="534" t="inlineStr">
        <is>
          <t>RIMAC SEGUROS</t>
        </is>
      </c>
      <c r="CRQ71" s="447" t="n"/>
      <c r="CRR71" s="529" t="n">
        <v>1086478942</v>
      </c>
      <c r="CRS71" s="518" t="n"/>
      <c r="CRT71" s="519" t="n"/>
      <c r="CRU71" s="519" t="n">
        <v>45341</v>
      </c>
      <c r="CRX71" s="137" t="n">
        <v>218.95</v>
      </c>
      <c r="CRY71" s="30" t="n"/>
      <c r="CRZ71" s="451" t="n"/>
      <c r="CSA71" s="34" t="n"/>
      <c r="CSB71" s="30" t="n"/>
      <c r="CSC71" s="138">
        <f>+CRY71-CSA71-CSC71</f>
        <v/>
      </c>
      <c r="CSD71" s="533" t="n"/>
      <c r="CSE71" s="515" t="inlineStr">
        <is>
          <t>SEGUROS</t>
        </is>
      </c>
      <c r="CSF71" s="534" t="inlineStr">
        <is>
          <t>RIMAC SEGUROS</t>
        </is>
      </c>
      <c r="CSG71" s="447" t="n"/>
      <c r="CSH71" s="529" t="n">
        <v>1086478942</v>
      </c>
      <c r="CSI71" s="518" t="n"/>
      <c r="CSJ71" s="519" t="n"/>
      <c r="CSK71" s="519" t="n">
        <v>45341</v>
      </c>
      <c r="CSN71" s="137" t="n">
        <v>218.95</v>
      </c>
      <c r="CSO71" s="30" t="n"/>
      <c r="CSP71" s="451" t="n"/>
      <c r="CSQ71" s="34" t="n"/>
      <c r="CSR71" s="30" t="n"/>
      <c r="CSS71" s="138">
        <f>+CSO71-CSQ71-CSS71</f>
        <v/>
      </c>
      <c r="CST71" s="533" t="n"/>
      <c r="CSU71" s="515" t="inlineStr">
        <is>
          <t>SEGUROS</t>
        </is>
      </c>
      <c r="CSV71" s="534" t="inlineStr">
        <is>
          <t>RIMAC SEGUROS</t>
        </is>
      </c>
      <c r="CSW71" s="447" t="n"/>
      <c r="CSX71" s="529" t="n">
        <v>1086478942</v>
      </c>
      <c r="CSY71" s="518" t="n"/>
      <c r="CSZ71" s="519" t="n"/>
      <c r="CTA71" s="519" t="n">
        <v>45341</v>
      </c>
      <c r="CTD71" s="137" t="n">
        <v>218.95</v>
      </c>
      <c r="CTE71" s="30" t="n"/>
      <c r="CTF71" s="451" t="n"/>
      <c r="CTG71" s="34" t="n"/>
      <c r="CTH71" s="30" t="n"/>
      <c r="CTI71" s="138">
        <f>+CTE71-CTG71-CTI71</f>
        <v/>
      </c>
      <c r="CTJ71" s="533" t="n"/>
      <c r="CTK71" s="515" t="inlineStr">
        <is>
          <t>SEGUROS</t>
        </is>
      </c>
      <c r="CTL71" s="534" t="inlineStr">
        <is>
          <t>RIMAC SEGUROS</t>
        </is>
      </c>
      <c r="CTM71" s="447" t="n"/>
      <c r="CTN71" s="529" t="n">
        <v>1086478942</v>
      </c>
      <c r="CTO71" s="518" t="n"/>
      <c r="CTP71" s="519" t="n"/>
      <c r="CTQ71" s="519" t="n">
        <v>45341</v>
      </c>
      <c r="CTT71" s="137" t="n">
        <v>218.95</v>
      </c>
      <c r="CTU71" s="30" t="n"/>
      <c r="CTV71" s="451" t="n"/>
      <c r="CTW71" s="34" t="n"/>
      <c r="CTX71" s="30" t="n"/>
      <c r="CTY71" s="138">
        <f>+CTU71-CTW71-CTY71</f>
        <v/>
      </c>
      <c r="CTZ71" s="533" t="n"/>
      <c r="CUA71" s="515" t="inlineStr">
        <is>
          <t>SEGUROS</t>
        </is>
      </c>
      <c r="CUB71" s="534" t="inlineStr">
        <is>
          <t>RIMAC SEGUROS</t>
        </is>
      </c>
      <c r="CUC71" s="447" t="n"/>
      <c r="CUD71" s="529" t="n">
        <v>1086478942</v>
      </c>
      <c r="CUE71" s="518" t="n"/>
      <c r="CUF71" s="519" t="n"/>
      <c r="CUG71" s="519" t="n">
        <v>45341</v>
      </c>
      <c r="CUJ71" s="137" t="n">
        <v>218.95</v>
      </c>
      <c r="CUK71" s="30" t="n"/>
      <c r="CUL71" s="451" t="n"/>
      <c r="CUM71" s="34" t="n"/>
      <c r="CUN71" s="30" t="n"/>
      <c r="CUO71" s="138">
        <f>+CUK71-CUM71-CUO71</f>
        <v/>
      </c>
      <c r="CUP71" s="533" t="n"/>
      <c r="CUQ71" s="515" t="inlineStr">
        <is>
          <t>SEGUROS</t>
        </is>
      </c>
      <c r="CUR71" s="534" t="inlineStr">
        <is>
          <t>RIMAC SEGUROS</t>
        </is>
      </c>
      <c r="CUS71" s="447" t="n"/>
      <c r="CUT71" s="529" t="n">
        <v>1086478942</v>
      </c>
      <c r="CUU71" s="518" t="n"/>
      <c r="CUV71" s="519" t="n"/>
      <c r="CUW71" s="519" t="n">
        <v>45341</v>
      </c>
      <c r="CUZ71" s="137" t="n">
        <v>218.95</v>
      </c>
      <c r="CVA71" s="30" t="n"/>
      <c r="CVB71" s="451" t="n"/>
      <c r="CVC71" s="34" t="n"/>
      <c r="CVD71" s="30" t="n"/>
      <c r="CVE71" s="138">
        <f>+CVA71-CVC71-CVE71</f>
        <v/>
      </c>
      <c r="CVF71" s="533" t="n"/>
      <c r="CVG71" s="515" t="inlineStr">
        <is>
          <t>SEGUROS</t>
        </is>
      </c>
      <c r="CVH71" s="534" t="inlineStr">
        <is>
          <t>RIMAC SEGUROS</t>
        </is>
      </c>
      <c r="CVI71" s="447" t="n"/>
      <c r="CVJ71" s="529" t="n">
        <v>1086478942</v>
      </c>
      <c r="CVK71" s="518" t="n"/>
      <c r="CVL71" s="519" t="n"/>
      <c r="CVM71" s="519" t="n">
        <v>45341</v>
      </c>
      <c r="CVP71" s="137" t="n">
        <v>218.95</v>
      </c>
      <c r="CVQ71" s="30" t="n"/>
      <c r="CVR71" s="451" t="n"/>
      <c r="CVS71" s="34" t="n"/>
      <c r="CVT71" s="30" t="n"/>
      <c r="CVU71" s="138">
        <f>+CVQ71-CVS71-CVU71</f>
        <v/>
      </c>
      <c r="CVV71" s="533" t="n"/>
      <c r="CVW71" s="515" t="inlineStr">
        <is>
          <t>SEGUROS</t>
        </is>
      </c>
      <c r="CVX71" s="534" t="inlineStr">
        <is>
          <t>RIMAC SEGUROS</t>
        </is>
      </c>
      <c r="CVY71" s="447" t="n"/>
      <c r="CVZ71" s="529" t="n">
        <v>1086478942</v>
      </c>
      <c r="CWA71" s="518" t="n"/>
      <c r="CWB71" s="519" t="n"/>
      <c r="CWC71" s="519" t="n">
        <v>45341</v>
      </c>
      <c r="CWF71" s="137" t="n">
        <v>218.95</v>
      </c>
      <c r="CWG71" s="30" t="n"/>
      <c r="CWH71" s="451" t="n"/>
      <c r="CWI71" s="34" t="n"/>
      <c r="CWJ71" s="30" t="n"/>
      <c r="CWK71" s="138">
        <f>+CWG71-CWI71-CWK71</f>
        <v/>
      </c>
      <c r="CWL71" s="533" t="n"/>
      <c r="CWM71" s="515" t="inlineStr">
        <is>
          <t>SEGUROS</t>
        </is>
      </c>
      <c r="CWN71" s="534" t="inlineStr">
        <is>
          <t>RIMAC SEGUROS</t>
        </is>
      </c>
      <c r="CWO71" s="447" t="n"/>
      <c r="CWP71" s="529" t="n">
        <v>1086478942</v>
      </c>
      <c r="CWQ71" s="518" t="n"/>
      <c r="CWR71" s="519" t="n"/>
      <c r="CWS71" s="519" t="n">
        <v>45341</v>
      </c>
      <c r="CWV71" s="137" t="n">
        <v>218.95</v>
      </c>
      <c r="CWW71" s="30" t="n"/>
      <c r="CWX71" s="451" t="n"/>
      <c r="CWY71" s="34" t="n"/>
      <c r="CWZ71" s="30" t="n"/>
      <c r="CXA71" s="138">
        <f>+CWW71-CWY71-CXA71</f>
        <v/>
      </c>
      <c r="CXB71" s="533" t="n"/>
      <c r="CXC71" s="515" t="inlineStr">
        <is>
          <t>SEGUROS</t>
        </is>
      </c>
      <c r="CXD71" s="534" t="inlineStr">
        <is>
          <t>RIMAC SEGUROS</t>
        </is>
      </c>
      <c r="CXE71" s="447" t="n"/>
      <c r="CXF71" s="529" t="n">
        <v>1086478942</v>
      </c>
      <c r="CXG71" s="518" t="n"/>
      <c r="CXH71" s="519" t="n"/>
      <c r="CXI71" s="519" t="n">
        <v>45341</v>
      </c>
      <c r="CXL71" s="137" t="n">
        <v>218.95</v>
      </c>
      <c r="CXM71" s="30" t="n"/>
      <c r="CXN71" s="451" t="n"/>
      <c r="CXO71" s="34" t="n"/>
      <c r="CXP71" s="30" t="n"/>
      <c r="CXQ71" s="138">
        <f>+CXM71-CXO71-CXQ71</f>
        <v/>
      </c>
      <c r="CXR71" s="533" t="n"/>
      <c r="CXS71" s="515" t="inlineStr">
        <is>
          <t>SEGUROS</t>
        </is>
      </c>
      <c r="CXT71" s="534" t="inlineStr">
        <is>
          <t>RIMAC SEGUROS</t>
        </is>
      </c>
      <c r="CXU71" s="447" t="n"/>
      <c r="CXV71" s="529" t="n">
        <v>1086478942</v>
      </c>
      <c r="CXW71" s="518" t="n"/>
      <c r="CXX71" s="519" t="n"/>
      <c r="CXY71" s="519" t="n">
        <v>45341</v>
      </c>
      <c r="CYB71" s="137" t="n">
        <v>218.95</v>
      </c>
      <c r="CYC71" s="30" t="n"/>
      <c r="CYD71" s="451" t="n"/>
      <c r="CYE71" s="34" t="n"/>
      <c r="CYF71" s="30" t="n"/>
      <c r="CYG71" s="138">
        <f>+CYC71-CYE71-CYG71</f>
        <v/>
      </c>
      <c r="CYH71" s="533" t="n"/>
      <c r="CYI71" s="515" t="inlineStr">
        <is>
          <t>SEGUROS</t>
        </is>
      </c>
      <c r="CYJ71" s="534" t="inlineStr">
        <is>
          <t>RIMAC SEGUROS</t>
        </is>
      </c>
      <c r="CYK71" s="447" t="n"/>
      <c r="CYL71" s="529" t="n">
        <v>1086478942</v>
      </c>
      <c r="CYM71" s="518" t="n"/>
      <c r="CYN71" s="519" t="n"/>
      <c r="CYO71" s="519" t="n">
        <v>45341</v>
      </c>
      <c r="CYR71" s="137" t="n">
        <v>218.95</v>
      </c>
      <c r="CYS71" s="30" t="n"/>
      <c r="CYT71" s="451" t="n"/>
      <c r="CYU71" s="34" t="n"/>
      <c r="CYV71" s="30" t="n"/>
      <c r="CYW71" s="138">
        <f>+CYS71-CYU71-CYW71</f>
        <v/>
      </c>
      <c r="CYX71" s="533" t="n"/>
      <c r="CYY71" s="515" t="inlineStr">
        <is>
          <t>SEGUROS</t>
        </is>
      </c>
      <c r="CYZ71" s="534" t="inlineStr">
        <is>
          <t>RIMAC SEGUROS</t>
        </is>
      </c>
      <c r="CZA71" s="447" t="n"/>
      <c r="CZB71" s="529" t="n">
        <v>1086478942</v>
      </c>
      <c r="CZC71" s="518" t="n"/>
      <c r="CZD71" s="519" t="n"/>
      <c r="CZE71" s="519" t="n">
        <v>45341</v>
      </c>
      <c r="CZH71" s="137" t="n">
        <v>218.95</v>
      </c>
      <c r="CZI71" s="30" t="n"/>
      <c r="CZJ71" s="451" t="n"/>
      <c r="CZK71" s="34" t="n"/>
      <c r="CZL71" s="30" t="n"/>
      <c r="CZM71" s="138">
        <f>+CZI71-CZK71-CZM71</f>
        <v/>
      </c>
      <c r="CZN71" s="533" t="n"/>
      <c r="CZO71" s="515" t="inlineStr">
        <is>
          <t>SEGUROS</t>
        </is>
      </c>
      <c r="CZP71" s="534" t="inlineStr">
        <is>
          <t>RIMAC SEGUROS</t>
        </is>
      </c>
      <c r="CZQ71" s="447" t="n"/>
      <c r="CZR71" s="529" t="n">
        <v>1086478942</v>
      </c>
      <c r="CZS71" s="518" t="n"/>
      <c r="CZT71" s="519" t="n"/>
      <c r="CZU71" s="519" t="n">
        <v>45341</v>
      </c>
      <c r="CZX71" s="137" t="n">
        <v>218.95</v>
      </c>
      <c r="CZY71" s="30" t="n"/>
      <c r="CZZ71" s="451" t="n"/>
      <c r="DAA71" s="34" t="n"/>
      <c r="DAB71" s="30" t="n"/>
      <c r="DAC71" s="138">
        <f>+CZY71-DAA71-DAC71</f>
        <v/>
      </c>
      <c r="DAD71" s="533" t="n"/>
      <c r="DAE71" s="515" t="inlineStr">
        <is>
          <t>SEGUROS</t>
        </is>
      </c>
      <c r="DAF71" s="534" t="inlineStr">
        <is>
          <t>RIMAC SEGUROS</t>
        </is>
      </c>
      <c r="DAG71" s="447" t="n"/>
      <c r="DAH71" s="529" t="n">
        <v>1086478942</v>
      </c>
      <c r="DAI71" s="518" t="n"/>
      <c r="DAJ71" s="519" t="n"/>
      <c r="DAK71" s="519" t="n">
        <v>45341</v>
      </c>
      <c r="DAN71" s="137" t="n">
        <v>218.95</v>
      </c>
      <c r="DAO71" s="30" t="n"/>
      <c r="DAP71" s="451" t="n"/>
      <c r="DAQ71" s="34" t="n"/>
      <c r="DAR71" s="30" t="n"/>
      <c r="DAS71" s="138">
        <f>+DAO71-DAQ71-DAS71</f>
        <v/>
      </c>
      <c r="DAT71" s="533" t="n"/>
      <c r="DAU71" s="515" t="inlineStr">
        <is>
          <t>SEGUROS</t>
        </is>
      </c>
      <c r="DAV71" s="534" t="inlineStr">
        <is>
          <t>RIMAC SEGUROS</t>
        </is>
      </c>
      <c r="DAW71" s="447" t="n"/>
      <c r="DAX71" s="529" t="n">
        <v>1086478942</v>
      </c>
      <c r="DAY71" s="518" t="n"/>
      <c r="DAZ71" s="519" t="n"/>
      <c r="DBA71" s="519" t="n">
        <v>45341</v>
      </c>
      <c r="DBD71" s="137" t="n">
        <v>218.95</v>
      </c>
      <c r="DBE71" s="30" t="n"/>
      <c r="DBF71" s="451" t="n"/>
      <c r="DBG71" s="34" t="n"/>
      <c r="DBH71" s="30" t="n"/>
      <c r="DBI71" s="138">
        <f>+DBE71-DBG71-DBI71</f>
        <v/>
      </c>
      <c r="DBJ71" s="533" t="n"/>
      <c r="DBK71" s="515" t="inlineStr">
        <is>
          <t>SEGUROS</t>
        </is>
      </c>
      <c r="DBL71" s="534" t="inlineStr">
        <is>
          <t>RIMAC SEGUROS</t>
        </is>
      </c>
      <c r="DBM71" s="447" t="n"/>
      <c r="DBN71" s="529" t="n">
        <v>1086478942</v>
      </c>
      <c r="DBO71" s="518" t="n"/>
      <c r="DBP71" s="519" t="n"/>
      <c r="DBQ71" s="519" t="n">
        <v>45341</v>
      </c>
      <c r="DBT71" s="137" t="n">
        <v>218.95</v>
      </c>
      <c r="DBU71" s="30" t="n"/>
      <c r="DBV71" s="451" t="n"/>
      <c r="DBW71" s="34" t="n"/>
      <c r="DBX71" s="30" t="n"/>
      <c r="DBY71" s="138">
        <f>+DBU71-DBW71-DBY71</f>
        <v/>
      </c>
      <c r="DBZ71" s="533" t="n"/>
      <c r="DCA71" s="515" t="inlineStr">
        <is>
          <t>SEGUROS</t>
        </is>
      </c>
      <c r="DCB71" s="534" t="inlineStr">
        <is>
          <t>RIMAC SEGUROS</t>
        </is>
      </c>
      <c r="DCC71" s="447" t="n"/>
      <c r="DCD71" s="529" t="n">
        <v>1086478942</v>
      </c>
      <c r="DCE71" s="518" t="n"/>
      <c r="DCF71" s="519" t="n"/>
      <c r="DCG71" s="519" t="n">
        <v>45341</v>
      </c>
      <c r="DCJ71" s="137" t="n">
        <v>218.95</v>
      </c>
      <c r="DCK71" s="30" t="n"/>
      <c r="DCL71" s="451" t="n"/>
      <c r="DCM71" s="34" t="n"/>
      <c r="DCN71" s="30" t="n"/>
      <c r="DCO71" s="138">
        <f>+DCK71-DCM71-DCO71</f>
        <v/>
      </c>
      <c r="DCP71" s="533" t="n"/>
      <c r="DCQ71" s="515" t="inlineStr">
        <is>
          <t>SEGUROS</t>
        </is>
      </c>
      <c r="DCR71" s="534" t="inlineStr">
        <is>
          <t>RIMAC SEGUROS</t>
        </is>
      </c>
      <c r="DCS71" s="447" t="n"/>
      <c r="DCT71" s="529" t="n">
        <v>1086478942</v>
      </c>
      <c r="DCU71" s="518" t="n"/>
      <c r="DCV71" s="519" t="n"/>
      <c r="DCW71" s="519" t="n">
        <v>45341</v>
      </c>
      <c r="DCZ71" s="137" t="n">
        <v>218.95</v>
      </c>
      <c r="DDA71" s="30" t="n"/>
      <c r="DDB71" s="451" t="n"/>
      <c r="DDC71" s="34" t="n"/>
      <c r="DDD71" s="30" t="n"/>
      <c r="DDE71" s="138">
        <f>+DDA71-DDC71-DDE71</f>
        <v/>
      </c>
      <c r="DDF71" s="533" t="n"/>
      <c r="DDG71" s="515" t="inlineStr">
        <is>
          <t>SEGUROS</t>
        </is>
      </c>
      <c r="DDH71" s="534" t="inlineStr">
        <is>
          <t>RIMAC SEGUROS</t>
        </is>
      </c>
      <c r="DDI71" s="447" t="n"/>
      <c r="DDJ71" s="529" t="n">
        <v>1086478942</v>
      </c>
      <c r="DDK71" s="518" t="n"/>
      <c r="DDL71" s="519" t="n"/>
      <c r="DDM71" s="519" t="n">
        <v>45341</v>
      </c>
      <c r="DDP71" s="137" t="n">
        <v>218.95</v>
      </c>
      <c r="DDQ71" s="30" t="n"/>
      <c r="DDR71" s="451" t="n"/>
      <c r="DDS71" s="34" t="n"/>
      <c r="DDT71" s="30" t="n"/>
      <c r="DDU71" s="138">
        <f>+DDQ71-DDS71-DDU71</f>
        <v/>
      </c>
      <c r="DDV71" s="533" t="n"/>
      <c r="DDW71" s="515" t="inlineStr">
        <is>
          <t>SEGUROS</t>
        </is>
      </c>
      <c r="DDX71" s="534" t="inlineStr">
        <is>
          <t>RIMAC SEGUROS</t>
        </is>
      </c>
      <c r="DDY71" s="447" t="n"/>
      <c r="DDZ71" s="529" t="n">
        <v>1086478942</v>
      </c>
      <c r="DEA71" s="518" t="n"/>
      <c r="DEB71" s="519" t="n"/>
      <c r="DEC71" s="519" t="n">
        <v>45341</v>
      </c>
      <c r="DEF71" s="137" t="n">
        <v>218.95</v>
      </c>
      <c r="DEG71" s="30" t="n"/>
      <c r="DEH71" s="451" t="n"/>
      <c r="DEI71" s="34" t="n"/>
      <c r="DEJ71" s="30" t="n"/>
      <c r="DEK71" s="138">
        <f>+DEG71-DEI71-DEK71</f>
        <v/>
      </c>
      <c r="DEL71" s="533" t="n"/>
      <c r="DEM71" s="515" t="inlineStr">
        <is>
          <t>SEGUROS</t>
        </is>
      </c>
      <c r="DEN71" s="534" t="inlineStr">
        <is>
          <t>RIMAC SEGUROS</t>
        </is>
      </c>
      <c r="DEO71" s="447" t="n"/>
      <c r="DEP71" s="529" t="n">
        <v>1086478942</v>
      </c>
      <c r="DEQ71" s="518" t="n"/>
      <c r="DER71" s="519" t="n"/>
      <c r="DES71" s="519" t="n">
        <v>45341</v>
      </c>
      <c r="DEV71" s="137" t="n">
        <v>218.95</v>
      </c>
      <c r="DEW71" s="30" t="n"/>
      <c r="DEX71" s="451" t="n"/>
      <c r="DEY71" s="34" t="n"/>
      <c r="DEZ71" s="30" t="n"/>
      <c r="DFA71" s="138">
        <f>+DEW71-DEY71-DFA71</f>
        <v/>
      </c>
      <c r="DFB71" s="533" t="n"/>
      <c r="DFC71" s="515" t="inlineStr">
        <is>
          <t>SEGUROS</t>
        </is>
      </c>
      <c r="DFD71" s="534" t="inlineStr">
        <is>
          <t>RIMAC SEGUROS</t>
        </is>
      </c>
      <c r="DFE71" s="447" t="n"/>
      <c r="DFF71" s="529" t="n">
        <v>1086478942</v>
      </c>
      <c r="DFG71" s="518" t="n"/>
      <c r="DFH71" s="519" t="n"/>
      <c r="DFI71" s="519" t="n">
        <v>45341</v>
      </c>
      <c r="DFL71" s="137" t="n">
        <v>218.95</v>
      </c>
      <c r="DFM71" s="30" t="n"/>
      <c r="DFN71" s="451" t="n"/>
      <c r="DFO71" s="34" t="n"/>
      <c r="DFP71" s="30" t="n"/>
      <c r="DFQ71" s="138">
        <f>+DFM71-DFO71-DFQ71</f>
        <v/>
      </c>
      <c r="DFR71" s="533" t="n"/>
      <c r="DFS71" s="515" t="inlineStr">
        <is>
          <t>SEGUROS</t>
        </is>
      </c>
      <c r="DFT71" s="534" t="inlineStr">
        <is>
          <t>RIMAC SEGUROS</t>
        </is>
      </c>
      <c r="DFU71" s="447" t="n"/>
      <c r="DFV71" s="529" t="n">
        <v>1086478942</v>
      </c>
      <c r="DFW71" s="518" t="n"/>
      <c r="DFX71" s="519" t="n"/>
      <c r="DFY71" s="519" t="n">
        <v>45341</v>
      </c>
      <c r="DGB71" s="137" t="n">
        <v>218.95</v>
      </c>
      <c r="DGC71" s="30" t="n"/>
      <c r="DGD71" s="451" t="n"/>
      <c r="DGE71" s="34" t="n"/>
      <c r="DGF71" s="30" t="n"/>
      <c r="DGG71" s="138">
        <f>+DGC71-DGE71-DGG71</f>
        <v/>
      </c>
      <c r="DGH71" s="533" t="n"/>
      <c r="DGI71" s="515" t="inlineStr">
        <is>
          <t>SEGUROS</t>
        </is>
      </c>
      <c r="DGJ71" s="534" t="inlineStr">
        <is>
          <t>RIMAC SEGUROS</t>
        </is>
      </c>
      <c r="DGK71" s="447" t="n"/>
      <c r="DGL71" s="529" t="n">
        <v>1086478942</v>
      </c>
      <c r="DGM71" s="518" t="n"/>
      <c r="DGN71" s="519" t="n"/>
      <c r="DGO71" s="519" t="n">
        <v>45341</v>
      </c>
      <c r="DGR71" s="137" t="n">
        <v>218.95</v>
      </c>
      <c r="DGS71" s="30" t="n"/>
      <c r="DGT71" s="451" t="n"/>
      <c r="DGU71" s="34" t="n"/>
      <c r="DGV71" s="30" t="n"/>
      <c r="DGW71" s="138">
        <f>+DGS71-DGU71-DGW71</f>
        <v/>
      </c>
      <c r="DGX71" s="533" t="n"/>
      <c r="DGY71" s="515" t="inlineStr">
        <is>
          <t>SEGUROS</t>
        </is>
      </c>
      <c r="DGZ71" s="534" t="inlineStr">
        <is>
          <t>RIMAC SEGUROS</t>
        </is>
      </c>
      <c r="DHA71" s="447" t="n"/>
      <c r="DHB71" s="529" t="n">
        <v>1086478942</v>
      </c>
      <c r="DHC71" s="518" t="n"/>
      <c r="DHD71" s="519" t="n"/>
      <c r="DHE71" s="519" t="n">
        <v>45341</v>
      </c>
      <c r="DHH71" s="137" t="n">
        <v>218.95</v>
      </c>
      <c r="DHI71" s="30" t="n"/>
      <c r="DHJ71" s="451" t="n"/>
      <c r="DHK71" s="34" t="n"/>
      <c r="DHL71" s="30" t="n"/>
      <c r="DHM71" s="138">
        <f>+DHI71-DHK71-DHM71</f>
        <v/>
      </c>
      <c r="DHN71" s="533" t="n"/>
      <c r="DHO71" s="515" t="inlineStr">
        <is>
          <t>SEGUROS</t>
        </is>
      </c>
      <c r="DHP71" s="534" t="inlineStr">
        <is>
          <t>RIMAC SEGUROS</t>
        </is>
      </c>
      <c r="DHQ71" s="447" t="n"/>
      <c r="DHR71" s="529" t="n">
        <v>1086478942</v>
      </c>
      <c r="DHS71" s="518" t="n"/>
      <c r="DHT71" s="519" t="n"/>
      <c r="DHU71" s="519" t="n">
        <v>45341</v>
      </c>
      <c r="DHX71" s="137" t="n">
        <v>218.95</v>
      </c>
      <c r="DHY71" s="30" t="n"/>
      <c r="DHZ71" s="451" t="n"/>
      <c r="DIA71" s="34" t="n"/>
      <c r="DIB71" s="30" t="n"/>
      <c r="DIC71" s="138">
        <f>+DHY71-DIA71-DIC71</f>
        <v/>
      </c>
      <c r="DID71" s="533" t="n"/>
      <c r="DIE71" s="515" t="inlineStr">
        <is>
          <t>SEGUROS</t>
        </is>
      </c>
      <c r="DIF71" s="534" t="inlineStr">
        <is>
          <t>RIMAC SEGUROS</t>
        </is>
      </c>
      <c r="DIG71" s="447" t="n"/>
      <c r="DIH71" s="529" t="n">
        <v>1086478942</v>
      </c>
      <c r="DII71" s="518" t="n"/>
      <c r="DIJ71" s="519" t="n"/>
      <c r="DIK71" s="519" t="n">
        <v>45341</v>
      </c>
      <c r="DIN71" s="137" t="n">
        <v>218.95</v>
      </c>
      <c r="DIO71" s="30" t="n"/>
      <c r="DIP71" s="451" t="n"/>
      <c r="DIQ71" s="34" t="n"/>
      <c r="DIR71" s="30" t="n"/>
      <c r="DIS71" s="138">
        <f>+DIO71-DIQ71-DIS71</f>
        <v/>
      </c>
      <c r="DIT71" s="533" t="n"/>
      <c r="DIU71" s="515" t="inlineStr">
        <is>
          <t>SEGUROS</t>
        </is>
      </c>
      <c r="DIV71" s="534" t="inlineStr">
        <is>
          <t>RIMAC SEGUROS</t>
        </is>
      </c>
      <c r="DIW71" s="447" t="n"/>
      <c r="DIX71" s="529" t="n">
        <v>1086478942</v>
      </c>
      <c r="DIY71" s="518" t="n"/>
      <c r="DIZ71" s="519" t="n"/>
      <c r="DJA71" s="519" t="n">
        <v>45341</v>
      </c>
      <c r="DJD71" s="137" t="n">
        <v>218.95</v>
      </c>
      <c r="DJE71" s="30" t="n"/>
      <c r="DJF71" s="451" t="n"/>
      <c r="DJG71" s="34" t="n"/>
      <c r="DJH71" s="30" t="n"/>
      <c r="DJI71" s="138">
        <f>+DJE71-DJG71-DJI71</f>
        <v/>
      </c>
      <c r="DJJ71" s="533" t="n"/>
      <c r="DJK71" s="515" t="inlineStr">
        <is>
          <t>SEGUROS</t>
        </is>
      </c>
      <c r="DJL71" s="534" t="inlineStr">
        <is>
          <t>RIMAC SEGUROS</t>
        </is>
      </c>
      <c r="DJM71" s="447" t="n"/>
      <c r="DJN71" s="529" t="n">
        <v>1086478942</v>
      </c>
      <c r="DJO71" s="518" t="n"/>
      <c r="DJP71" s="519" t="n"/>
      <c r="DJQ71" s="519" t="n">
        <v>45341</v>
      </c>
      <c r="DJT71" s="137" t="n">
        <v>218.95</v>
      </c>
      <c r="DJU71" s="30" t="n"/>
      <c r="DJV71" s="451" t="n"/>
      <c r="DJW71" s="34" t="n"/>
      <c r="DJX71" s="30" t="n"/>
      <c r="DJY71" s="138">
        <f>+DJU71-DJW71-DJY71</f>
        <v/>
      </c>
      <c r="DJZ71" s="533" t="n"/>
      <c r="DKA71" s="515" t="inlineStr">
        <is>
          <t>SEGUROS</t>
        </is>
      </c>
      <c r="DKB71" s="534" t="inlineStr">
        <is>
          <t>RIMAC SEGUROS</t>
        </is>
      </c>
      <c r="DKC71" s="447" t="n"/>
      <c r="DKD71" s="529" t="n">
        <v>1086478942</v>
      </c>
      <c r="DKE71" s="518" t="n"/>
      <c r="DKF71" s="519" t="n"/>
      <c r="DKG71" s="519" t="n">
        <v>45341</v>
      </c>
      <c r="DKJ71" s="137" t="n">
        <v>218.95</v>
      </c>
      <c r="DKK71" s="30" t="n"/>
      <c r="DKL71" s="451" t="n"/>
      <c r="DKM71" s="34" t="n"/>
      <c r="DKN71" s="30" t="n"/>
      <c r="DKO71" s="138">
        <f>+DKK71-DKM71-DKO71</f>
        <v/>
      </c>
      <c r="DKP71" s="533" t="n"/>
      <c r="DKQ71" s="515" t="inlineStr">
        <is>
          <t>SEGUROS</t>
        </is>
      </c>
      <c r="DKR71" s="534" t="inlineStr">
        <is>
          <t>RIMAC SEGUROS</t>
        </is>
      </c>
      <c r="DKS71" s="447" t="n"/>
      <c r="DKT71" s="529" t="n">
        <v>1086478942</v>
      </c>
      <c r="DKU71" s="518" t="n"/>
      <c r="DKV71" s="519" t="n"/>
      <c r="DKW71" s="519" t="n">
        <v>45341</v>
      </c>
      <c r="DKZ71" s="137" t="n">
        <v>218.95</v>
      </c>
      <c r="DLA71" s="30" t="n"/>
      <c r="DLB71" s="451" t="n"/>
      <c r="DLC71" s="34" t="n"/>
      <c r="DLD71" s="30" t="n"/>
      <c r="DLE71" s="138">
        <f>+DLA71-DLC71-DLE71</f>
        <v/>
      </c>
      <c r="DLF71" s="533" t="n"/>
      <c r="DLG71" s="515" t="inlineStr">
        <is>
          <t>SEGUROS</t>
        </is>
      </c>
      <c r="DLH71" s="534" t="inlineStr">
        <is>
          <t>RIMAC SEGUROS</t>
        </is>
      </c>
      <c r="DLI71" s="447" t="n"/>
      <c r="DLJ71" s="529" t="n">
        <v>1086478942</v>
      </c>
      <c r="DLK71" s="518" t="n"/>
      <c r="DLL71" s="519" t="n"/>
      <c r="DLM71" s="519" t="n">
        <v>45341</v>
      </c>
      <c r="DLP71" s="137" t="n">
        <v>218.95</v>
      </c>
      <c r="DLQ71" s="30" t="n"/>
      <c r="DLR71" s="451" t="n"/>
      <c r="DLS71" s="34" t="n"/>
      <c r="DLT71" s="30" t="n"/>
      <c r="DLU71" s="138">
        <f>+DLQ71-DLS71-DLU71</f>
        <v/>
      </c>
      <c r="DLV71" s="533" t="n"/>
      <c r="DLW71" s="515" t="inlineStr">
        <is>
          <t>SEGUROS</t>
        </is>
      </c>
      <c r="DLX71" s="534" t="inlineStr">
        <is>
          <t>RIMAC SEGUROS</t>
        </is>
      </c>
      <c r="DLY71" s="447" t="n"/>
      <c r="DLZ71" s="529" t="n">
        <v>1086478942</v>
      </c>
      <c r="DMA71" s="518" t="n"/>
      <c r="DMB71" s="519" t="n"/>
      <c r="DMC71" s="519" t="n">
        <v>45341</v>
      </c>
      <c r="DMF71" s="137" t="n">
        <v>218.95</v>
      </c>
      <c r="DMG71" s="30" t="n"/>
      <c r="DMH71" s="451" t="n"/>
      <c r="DMI71" s="34" t="n"/>
      <c r="DMJ71" s="30" t="n"/>
      <c r="DMK71" s="138">
        <f>+DMG71-DMI71-DMK71</f>
        <v/>
      </c>
      <c r="DML71" s="533" t="n"/>
      <c r="DMM71" s="515" t="inlineStr">
        <is>
          <t>SEGUROS</t>
        </is>
      </c>
      <c r="DMN71" s="534" t="inlineStr">
        <is>
          <t>RIMAC SEGUROS</t>
        </is>
      </c>
      <c r="DMO71" s="447" t="n"/>
      <c r="DMP71" s="529" t="n">
        <v>1086478942</v>
      </c>
      <c r="DMQ71" s="518" t="n"/>
      <c r="DMR71" s="519" t="n"/>
      <c r="DMS71" s="519" t="n">
        <v>45341</v>
      </c>
      <c r="DMV71" s="137" t="n">
        <v>218.95</v>
      </c>
      <c r="DMW71" s="30" t="n"/>
      <c r="DMX71" s="451" t="n"/>
      <c r="DMY71" s="34" t="n"/>
      <c r="DMZ71" s="30" t="n"/>
      <c r="DNA71" s="138">
        <f>+DMW71-DMY71-DNA71</f>
        <v/>
      </c>
      <c r="DNB71" s="533" t="n"/>
      <c r="DNC71" s="515" t="inlineStr">
        <is>
          <t>SEGUROS</t>
        </is>
      </c>
      <c r="DND71" s="534" t="inlineStr">
        <is>
          <t>RIMAC SEGUROS</t>
        </is>
      </c>
      <c r="DNE71" s="447" t="n"/>
      <c r="DNF71" s="529" t="n">
        <v>1086478942</v>
      </c>
      <c r="DNG71" s="518" t="n"/>
      <c r="DNH71" s="519" t="n"/>
      <c r="DNI71" s="519" t="n">
        <v>45341</v>
      </c>
      <c r="DNL71" s="137" t="n">
        <v>218.95</v>
      </c>
      <c r="DNM71" s="30" t="n"/>
      <c r="DNN71" s="451" t="n"/>
      <c r="DNO71" s="34" t="n"/>
      <c r="DNP71" s="30" t="n"/>
      <c r="DNQ71" s="138">
        <f>+DNM71-DNO71-DNQ71</f>
        <v/>
      </c>
      <c r="DNR71" s="533" t="n"/>
      <c r="DNS71" s="515" t="inlineStr">
        <is>
          <t>SEGUROS</t>
        </is>
      </c>
      <c r="DNT71" s="534" t="inlineStr">
        <is>
          <t>RIMAC SEGUROS</t>
        </is>
      </c>
      <c r="DNU71" s="447" t="n"/>
      <c r="DNV71" s="529" t="n">
        <v>1086478942</v>
      </c>
      <c r="DNW71" s="518" t="n"/>
      <c r="DNX71" s="519" t="n"/>
      <c r="DNY71" s="519" t="n">
        <v>45341</v>
      </c>
      <c r="DOB71" s="137" t="n">
        <v>218.95</v>
      </c>
      <c r="DOC71" s="30" t="n"/>
      <c r="DOD71" s="451" t="n"/>
      <c r="DOE71" s="34" t="n"/>
      <c r="DOF71" s="30" t="n"/>
      <c r="DOG71" s="138">
        <f>+DOC71-DOE71-DOG71</f>
        <v/>
      </c>
      <c r="DOH71" s="533" t="n"/>
      <c r="DOI71" s="515" t="inlineStr">
        <is>
          <t>SEGUROS</t>
        </is>
      </c>
      <c r="DOJ71" s="534" t="inlineStr">
        <is>
          <t>RIMAC SEGUROS</t>
        </is>
      </c>
      <c r="DOK71" s="447" t="n"/>
      <c r="DOL71" s="529" t="n">
        <v>1086478942</v>
      </c>
      <c r="DOM71" s="518" t="n"/>
      <c r="DON71" s="519" t="n"/>
      <c r="DOO71" s="519" t="n">
        <v>45341</v>
      </c>
      <c r="DOR71" s="137" t="n">
        <v>218.95</v>
      </c>
      <c r="DOS71" s="30" t="n"/>
      <c r="DOT71" s="451" t="n"/>
      <c r="DOU71" s="34" t="n"/>
      <c r="DOV71" s="30" t="n"/>
      <c r="DOW71" s="138">
        <f>+DOS71-DOU71-DOW71</f>
        <v/>
      </c>
      <c r="DOX71" s="533" t="n"/>
      <c r="DOY71" s="515" t="inlineStr">
        <is>
          <t>SEGUROS</t>
        </is>
      </c>
      <c r="DOZ71" s="534" t="inlineStr">
        <is>
          <t>RIMAC SEGUROS</t>
        </is>
      </c>
      <c r="DPA71" s="447" t="n"/>
      <c r="DPB71" s="529" t="n">
        <v>1086478942</v>
      </c>
      <c r="DPC71" s="518" t="n"/>
      <c r="DPD71" s="519" t="n"/>
      <c r="DPE71" s="519" t="n">
        <v>45341</v>
      </c>
      <c r="DPH71" s="137" t="n">
        <v>218.95</v>
      </c>
      <c r="DPI71" s="30" t="n"/>
      <c r="DPJ71" s="451" t="n"/>
      <c r="DPK71" s="34" t="n"/>
      <c r="DPL71" s="30" t="n"/>
      <c r="DPM71" s="138">
        <f>+DPI71-DPK71-DPM71</f>
        <v/>
      </c>
      <c r="DPN71" s="533" t="n"/>
      <c r="DPO71" s="515" t="inlineStr">
        <is>
          <t>SEGUROS</t>
        </is>
      </c>
      <c r="DPP71" s="534" t="inlineStr">
        <is>
          <t>RIMAC SEGUROS</t>
        </is>
      </c>
      <c r="DPQ71" s="447" t="n"/>
      <c r="DPR71" s="529" t="n">
        <v>1086478942</v>
      </c>
      <c r="DPS71" s="518" t="n"/>
      <c r="DPT71" s="519" t="n"/>
      <c r="DPU71" s="519" t="n">
        <v>45341</v>
      </c>
      <c r="DPX71" s="137" t="n">
        <v>218.95</v>
      </c>
      <c r="DPY71" s="30" t="n"/>
      <c r="DPZ71" s="451" t="n"/>
      <c r="DQA71" s="34" t="n"/>
      <c r="DQB71" s="30" t="n"/>
      <c r="DQC71" s="138">
        <f>+DPY71-DQA71-DQC71</f>
        <v/>
      </c>
      <c r="DQD71" s="533" t="n"/>
      <c r="DQE71" s="515" t="inlineStr">
        <is>
          <t>SEGUROS</t>
        </is>
      </c>
      <c r="DQF71" s="534" t="inlineStr">
        <is>
          <t>RIMAC SEGUROS</t>
        </is>
      </c>
      <c r="DQG71" s="447" t="n"/>
      <c r="DQH71" s="529" t="n">
        <v>1086478942</v>
      </c>
      <c r="DQI71" s="518" t="n"/>
      <c r="DQJ71" s="519" t="n"/>
      <c r="DQK71" s="519" t="n">
        <v>45341</v>
      </c>
      <c r="DQN71" s="137" t="n">
        <v>218.95</v>
      </c>
      <c r="DQO71" s="30" t="n"/>
      <c r="DQP71" s="451" t="n"/>
      <c r="DQQ71" s="34" t="n"/>
      <c r="DQR71" s="30" t="n"/>
      <c r="DQS71" s="138">
        <f>+DQO71-DQQ71-DQS71</f>
        <v/>
      </c>
      <c r="DQT71" s="533" t="n"/>
      <c r="DQU71" s="515" t="inlineStr">
        <is>
          <t>SEGUROS</t>
        </is>
      </c>
      <c r="DQV71" s="534" t="inlineStr">
        <is>
          <t>RIMAC SEGUROS</t>
        </is>
      </c>
      <c r="DQW71" s="447" t="n"/>
      <c r="DQX71" s="529" t="n">
        <v>1086478942</v>
      </c>
      <c r="DQY71" s="518" t="n"/>
      <c r="DQZ71" s="519" t="n"/>
      <c r="DRA71" s="519" t="n">
        <v>45341</v>
      </c>
      <c r="DRD71" s="137" t="n">
        <v>218.95</v>
      </c>
      <c r="DRE71" s="30" t="n"/>
      <c r="DRF71" s="451" t="n"/>
      <c r="DRG71" s="34" t="n"/>
      <c r="DRH71" s="30" t="n"/>
      <c r="DRI71" s="138">
        <f>+DRE71-DRG71-DRI71</f>
        <v/>
      </c>
      <c r="DRJ71" s="533" t="n"/>
      <c r="DRK71" s="515" t="inlineStr">
        <is>
          <t>SEGUROS</t>
        </is>
      </c>
      <c r="DRL71" s="534" t="inlineStr">
        <is>
          <t>RIMAC SEGUROS</t>
        </is>
      </c>
      <c r="DRM71" s="447" t="n"/>
      <c r="DRN71" s="529" t="n">
        <v>1086478942</v>
      </c>
      <c r="DRO71" s="518" t="n"/>
      <c r="DRP71" s="519" t="n"/>
      <c r="DRQ71" s="519" t="n">
        <v>45341</v>
      </c>
      <c r="DRT71" s="137" t="n">
        <v>218.95</v>
      </c>
      <c r="DRU71" s="30" t="n"/>
      <c r="DRV71" s="451" t="n"/>
      <c r="DRW71" s="34" t="n"/>
      <c r="DRX71" s="30" t="n"/>
      <c r="DRY71" s="138">
        <f>+DRU71-DRW71-DRY71</f>
        <v/>
      </c>
      <c r="DRZ71" s="533" t="n"/>
      <c r="DSA71" s="515" t="inlineStr">
        <is>
          <t>SEGUROS</t>
        </is>
      </c>
      <c r="DSB71" s="534" t="inlineStr">
        <is>
          <t>RIMAC SEGUROS</t>
        </is>
      </c>
      <c r="DSC71" s="447" t="n"/>
      <c r="DSD71" s="529" t="n">
        <v>1086478942</v>
      </c>
      <c r="DSE71" s="518" t="n"/>
      <c r="DSF71" s="519" t="n"/>
      <c r="DSG71" s="519" t="n">
        <v>45341</v>
      </c>
      <c r="DSJ71" s="137" t="n">
        <v>218.95</v>
      </c>
      <c r="DSK71" s="30" t="n"/>
      <c r="DSL71" s="451" t="n"/>
      <c r="DSM71" s="34" t="n"/>
      <c r="DSN71" s="30" t="n"/>
      <c r="DSO71" s="138">
        <f>+DSK71-DSM71-DSO71</f>
        <v/>
      </c>
      <c r="DSP71" s="533" t="n"/>
      <c r="DSQ71" s="515" t="inlineStr">
        <is>
          <t>SEGUROS</t>
        </is>
      </c>
      <c r="DSR71" s="534" t="inlineStr">
        <is>
          <t>RIMAC SEGUROS</t>
        </is>
      </c>
      <c r="DSS71" s="447" t="n"/>
      <c r="DST71" s="529" t="n">
        <v>1086478942</v>
      </c>
      <c r="DSU71" s="518" t="n"/>
      <c r="DSV71" s="519" t="n"/>
      <c r="DSW71" s="519" t="n">
        <v>45341</v>
      </c>
      <c r="DSZ71" s="137" t="n">
        <v>218.95</v>
      </c>
      <c r="DTA71" s="30" t="n"/>
      <c r="DTB71" s="451" t="n"/>
      <c r="DTC71" s="34" t="n"/>
      <c r="DTD71" s="30" t="n"/>
      <c r="DTE71" s="138">
        <f>+DTA71-DTC71-DTE71</f>
        <v/>
      </c>
      <c r="DTF71" s="533" t="n"/>
      <c r="DTG71" s="515" t="inlineStr">
        <is>
          <t>SEGUROS</t>
        </is>
      </c>
      <c r="DTH71" s="534" t="inlineStr">
        <is>
          <t>RIMAC SEGUROS</t>
        </is>
      </c>
      <c r="DTI71" s="447" t="n"/>
      <c r="DTJ71" s="529" t="n">
        <v>1086478942</v>
      </c>
      <c r="DTK71" s="518" t="n"/>
      <c r="DTL71" s="519" t="n"/>
      <c r="DTM71" s="519" t="n">
        <v>45341</v>
      </c>
      <c r="DTP71" s="137" t="n">
        <v>218.95</v>
      </c>
      <c r="DTQ71" s="30" t="n"/>
      <c r="DTR71" s="451" t="n"/>
      <c r="DTS71" s="34" t="n"/>
      <c r="DTT71" s="30" t="n"/>
      <c r="DTU71" s="138">
        <f>+DTQ71-DTS71-DTU71</f>
        <v/>
      </c>
      <c r="DTV71" s="533" t="n"/>
      <c r="DTW71" s="515" t="inlineStr">
        <is>
          <t>SEGUROS</t>
        </is>
      </c>
      <c r="DTX71" s="534" t="inlineStr">
        <is>
          <t>RIMAC SEGUROS</t>
        </is>
      </c>
      <c r="DTY71" s="447" t="n"/>
      <c r="DTZ71" s="529" t="n">
        <v>1086478942</v>
      </c>
      <c r="DUA71" s="518" t="n"/>
      <c r="DUB71" s="519" t="n"/>
      <c r="DUC71" s="519" t="n">
        <v>45341</v>
      </c>
      <c r="DUF71" s="137" t="n">
        <v>218.95</v>
      </c>
      <c r="DUG71" s="30" t="n"/>
      <c r="DUH71" s="451" t="n"/>
      <c r="DUI71" s="34" t="n"/>
      <c r="DUJ71" s="30" t="n"/>
      <c r="DUK71" s="138">
        <f>+DUG71-DUI71-DUK71</f>
        <v/>
      </c>
      <c r="DUL71" s="533" t="n"/>
      <c r="DUM71" s="515" t="inlineStr">
        <is>
          <t>SEGUROS</t>
        </is>
      </c>
      <c r="DUN71" s="534" t="inlineStr">
        <is>
          <t>RIMAC SEGUROS</t>
        </is>
      </c>
      <c r="DUO71" s="447" t="n"/>
      <c r="DUP71" s="529" t="n">
        <v>1086478942</v>
      </c>
      <c r="DUQ71" s="518" t="n"/>
      <c r="DUR71" s="519" t="n"/>
      <c r="DUS71" s="519" t="n">
        <v>45341</v>
      </c>
      <c r="DUV71" s="137" t="n">
        <v>218.95</v>
      </c>
      <c r="DUW71" s="30" t="n"/>
      <c r="DUX71" s="451" t="n"/>
      <c r="DUY71" s="34" t="n"/>
      <c r="DUZ71" s="30" t="n"/>
      <c r="DVA71" s="138">
        <f>+DUW71-DUY71-DVA71</f>
        <v/>
      </c>
      <c r="DVB71" s="533" t="n"/>
      <c r="DVC71" s="515" t="inlineStr">
        <is>
          <t>SEGUROS</t>
        </is>
      </c>
      <c r="DVD71" s="534" t="inlineStr">
        <is>
          <t>RIMAC SEGUROS</t>
        </is>
      </c>
      <c r="DVE71" s="447" t="n"/>
      <c r="DVF71" s="529" t="n">
        <v>1086478942</v>
      </c>
      <c r="DVG71" s="518" t="n"/>
      <c r="DVH71" s="519" t="n"/>
      <c r="DVI71" s="519" t="n">
        <v>45341</v>
      </c>
      <c r="DVL71" s="137" t="n">
        <v>218.95</v>
      </c>
      <c r="DVM71" s="30" t="n"/>
      <c r="DVN71" s="451" t="n"/>
      <c r="DVO71" s="34" t="n"/>
      <c r="DVP71" s="30" t="n"/>
      <c r="DVQ71" s="138">
        <f>+DVM71-DVO71-DVQ71</f>
        <v/>
      </c>
      <c r="DVR71" s="533" t="n"/>
      <c r="DVS71" s="515" t="inlineStr">
        <is>
          <t>SEGUROS</t>
        </is>
      </c>
      <c r="DVT71" s="534" t="inlineStr">
        <is>
          <t>RIMAC SEGUROS</t>
        </is>
      </c>
      <c r="DVU71" s="447" t="n"/>
      <c r="DVV71" s="529" t="n">
        <v>1086478942</v>
      </c>
      <c r="DVW71" s="518" t="n"/>
      <c r="DVX71" s="519" t="n"/>
      <c r="DVY71" s="519" t="n">
        <v>45341</v>
      </c>
      <c r="DWB71" s="137" t="n">
        <v>218.95</v>
      </c>
      <c r="DWC71" s="30" t="n"/>
      <c r="DWD71" s="451" t="n"/>
      <c r="DWE71" s="34" t="n"/>
      <c r="DWF71" s="30" t="n"/>
      <c r="DWG71" s="138">
        <f>+DWC71-DWE71-DWG71</f>
        <v/>
      </c>
      <c r="DWH71" s="533" t="n"/>
      <c r="DWI71" s="515" t="inlineStr">
        <is>
          <t>SEGUROS</t>
        </is>
      </c>
      <c r="DWJ71" s="534" t="inlineStr">
        <is>
          <t>RIMAC SEGUROS</t>
        </is>
      </c>
      <c r="DWK71" s="447" t="n"/>
      <c r="DWL71" s="529" t="n">
        <v>1086478942</v>
      </c>
      <c r="DWM71" s="518" t="n"/>
      <c r="DWN71" s="519" t="n"/>
      <c r="DWO71" s="519" t="n">
        <v>45341</v>
      </c>
      <c r="DWR71" s="137" t="n">
        <v>218.95</v>
      </c>
      <c r="DWS71" s="30" t="n"/>
      <c r="DWT71" s="451" t="n"/>
      <c r="DWU71" s="34" t="n"/>
      <c r="DWV71" s="30" t="n"/>
      <c r="DWW71" s="138">
        <f>+DWS71-DWU71-DWW71</f>
        <v/>
      </c>
      <c r="DWX71" s="533" t="n"/>
      <c r="DWY71" s="515" t="inlineStr">
        <is>
          <t>SEGUROS</t>
        </is>
      </c>
      <c r="DWZ71" s="534" t="inlineStr">
        <is>
          <t>RIMAC SEGUROS</t>
        </is>
      </c>
      <c r="DXA71" s="447" t="n"/>
      <c r="DXB71" s="529" t="n">
        <v>1086478942</v>
      </c>
      <c r="DXC71" s="518" t="n"/>
      <c r="DXD71" s="519" t="n"/>
      <c r="DXE71" s="519" t="n">
        <v>45341</v>
      </c>
      <c r="DXH71" s="137" t="n">
        <v>218.95</v>
      </c>
      <c r="DXI71" s="30" t="n"/>
      <c r="DXJ71" s="451" t="n"/>
      <c r="DXK71" s="34" t="n"/>
      <c r="DXL71" s="30" t="n"/>
      <c r="DXM71" s="138">
        <f>+DXI71-DXK71-DXM71</f>
        <v/>
      </c>
      <c r="DXN71" s="533" t="n"/>
      <c r="DXO71" s="515" t="inlineStr">
        <is>
          <t>SEGUROS</t>
        </is>
      </c>
      <c r="DXP71" s="534" t="inlineStr">
        <is>
          <t>RIMAC SEGUROS</t>
        </is>
      </c>
      <c r="DXQ71" s="447" t="n"/>
      <c r="DXR71" s="529" t="n">
        <v>1086478942</v>
      </c>
      <c r="DXS71" s="518" t="n"/>
      <c r="DXT71" s="519" t="n"/>
      <c r="DXU71" s="519" t="n">
        <v>45341</v>
      </c>
      <c r="DXX71" s="137" t="n">
        <v>218.95</v>
      </c>
      <c r="DXY71" s="30" t="n"/>
      <c r="DXZ71" s="451" t="n"/>
      <c r="DYA71" s="34" t="n"/>
      <c r="DYB71" s="30" t="n"/>
      <c r="DYC71" s="138">
        <f>+DXY71-DYA71-DYC71</f>
        <v/>
      </c>
      <c r="DYD71" s="533" t="n"/>
      <c r="DYE71" s="515" t="inlineStr">
        <is>
          <t>SEGUROS</t>
        </is>
      </c>
      <c r="DYF71" s="534" t="inlineStr">
        <is>
          <t>RIMAC SEGUROS</t>
        </is>
      </c>
      <c r="DYG71" s="447" t="n"/>
      <c r="DYH71" s="529" t="n">
        <v>1086478942</v>
      </c>
      <c r="DYI71" s="518" t="n"/>
      <c r="DYJ71" s="519" t="n"/>
      <c r="DYK71" s="519" t="n">
        <v>45341</v>
      </c>
      <c r="DYN71" s="137" t="n">
        <v>218.95</v>
      </c>
      <c r="DYO71" s="30" t="n"/>
      <c r="DYP71" s="451" t="n"/>
      <c r="DYQ71" s="34" t="n"/>
      <c r="DYR71" s="30" t="n"/>
      <c r="DYS71" s="138">
        <f>+DYO71-DYQ71-DYS71</f>
        <v/>
      </c>
      <c r="DYT71" s="533" t="n"/>
      <c r="DYU71" s="515" t="inlineStr">
        <is>
          <t>SEGUROS</t>
        </is>
      </c>
      <c r="DYV71" s="534" t="inlineStr">
        <is>
          <t>RIMAC SEGUROS</t>
        </is>
      </c>
      <c r="DYW71" s="447" t="n"/>
      <c r="DYX71" s="529" t="n">
        <v>1086478942</v>
      </c>
      <c r="DYY71" s="518" t="n"/>
      <c r="DYZ71" s="519" t="n"/>
      <c r="DZA71" s="519" t="n">
        <v>45341</v>
      </c>
      <c r="DZD71" s="137" t="n">
        <v>218.95</v>
      </c>
      <c r="DZE71" s="30" t="n"/>
      <c r="DZF71" s="451" t="n"/>
      <c r="DZG71" s="34" t="n"/>
      <c r="DZH71" s="30" t="n"/>
      <c r="DZI71" s="138">
        <f>+DZE71-DZG71-DZI71</f>
        <v/>
      </c>
      <c r="DZJ71" s="533" t="n"/>
      <c r="DZK71" s="515" t="inlineStr">
        <is>
          <t>SEGUROS</t>
        </is>
      </c>
      <c r="DZL71" s="534" t="inlineStr">
        <is>
          <t>RIMAC SEGUROS</t>
        </is>
      </c>
      <c r="DZM71" s="447" t="n"/>
      <c r="DZN71" s="529" t="n">
        <v>1086478942</v>
      </c>
      <c r="DZO71" s="518" t="n"/>
      <c r="DZP71" s="519" t="n"/>
      <c r="DZQ71" s="519" t="n">
        <v>45341</v>
      </c>
      <c r="DZT71" s="137" t="n">
        <v>218.95</v>
      </c>
      <c r="DZU71" s="30" t="n"/>
      <c r="DZV71" s="451" t="n"/>
      <c r="DZW71" s="34" t="n"/>
      <c r="DZX71" s="30" t="n"/>
      <c r="DZY71" s="138">
        <f>+DZU71-DZW71-DZY71</f>
        <v/>
      </c>
      <c r="DZZ71" s="533" t="n"/>
      <c r="EAA71" s="515" t="inlineStr">
        <is>
          <t>SEGUROS</t>
        </is>
      </c>
      <c r="EAB71" s="534" t="inlineStr">
        <is>
          <t>RIMAC SEGUROS</t>
        </is>
      </c>
      <c r="EAC71" s="447" t="n"/>
      <c r="EAD71" s="529" t="n">
        <v>1086478942</v>
      </c>
      <c r="EAE71" s="518" t="n"/>
      <c r="EAF71" s="519" t="n"/>
      <c r="EAG71" s="519" t="n">
        <v>45341</v>
      </c>
      <c r="EAJ71" s="137" t="n">
        <v>218.95</v>
      </c>
      <c r="EAK71" s="30" t="n"/>
      <c r="EAL71" s="451" t="n"/>
      <c r="EAM71" s="34" t="n"/>
      <c r="EAN71" s="30" t="n"/>
      <c r="EAO71" s="138">
        <f>+EAK71-EAM71-EAO71</f>
        <v/>
      </c>
      <c r="EAP71" s="533" t="n"/>
      <c r="EAQ71" s="515" t="inlineStr">
        <is>
          <t>SEGUROS</t>
        </is>
      </c>
      <c r="EAR71" s="534" t="inlineStr">
        <is>
          <t>RIMAC SEGUROS</t>
        </is>
      </c>
      <c r="EAS71" s="447" t="n"/>
      <c r="EAT71" s="529" t="n">
        <v>1086478942</v>
      </c>
      <c r="EAU71" s="518" t="n"/>
      <c r="EAV71" s="519" t="n"/>
      <c r="EAW71" s="519" t="n">
        <v>45341</v>
      </c>
      <c r="EAZ71" s="137" t="n">
        <v>218.95</v>
      </c>
      <c r="EBA71" s="30" t="n"/>
      <c r="EBB71" s="451" t="n"/>
      <c r="EBC71" s="34" t="n"/>
      <c r="EBD71" s="30" t="n"/>
      <c r="EBE71" s="138">
        <f>+EBA71-EBC71-EBE71</f>
        <v/>
      </c>
      <c r="EBF71" s="533" t="n"/>
      <c r="EBG71" s="515" t="inlineStr">
        <is>
          <t>SEGUROS</t>
        </is>
      </c>
      <c r="EBH71" s="534" t="inlineStr">
        <is>
          <t>RIMAC SEGUROS</t>
        </is>
      </c>
      <c r="EBI71" s="447" t="n"/>
      <c r="EBJ71" s="529" t="n">
        <v>1086478942</v>
      </c>
      <c r="EBK71" s="518" t="n"/>
      <c r="EBL71" s="519" t="n"/>
      <c r="EBM71" s="519" t="n">
        <v>45341</v>
      </c>
      <c r="EBP71" s="137" t="n">
        <v>218.95</v>
      </c>
      <c r="EBQ71" s="30" t="n"/>
      <c r="EBR71" s="451" t="n"/>
      <c r="EBS71" s="34" t="n"/>
      <c r="EBT71" s="30" t="n"/>
      <c r="EBU71" s="138">
        <f>+EBQ71-EBS71-EBU71</f>
        <v/>
      </c>
      <c r="EBV71" s="533" t="n"/>
      <c r="EBW71" s="515" t="inlineStr">
        <is>
          <t>SEGUROS</t>
        </is>
      </c>
      <c r="EBX71" s="534" t="inlineStr">
        <is>
          <t>RIMAC SEGUROS</t>
        </is>
      </c>
      <c r="EBY71" s="447" t="n"/>
      <c r="EBZ71" s="529" t="n">
        <v>1086478942</v>
      </c>
      <c r="ECA71" s="518" t="n"/>
      <c r="ECB71" s="519" t="n"/>
      <c r="ECC71" s="519" t="n">
        <v>45341</v>
      </c>
      <c r="ECF71" s="137" t="n">
        <v>218.95</v>
      </c>
      <c r="ECG71" s="30" t="n"/>
      <c r="ECH71" s="451" t="n"/>
      <c r="ECI71" s="34" t="n"/>
      <c r="ECJ71" s="30" t="n"/>
      <c r="ECK71" s="138">
        <f>+ECG71-ECI71-ECK71</f>
        <v/>
      </c>
      <c r="ECL71" s="533" t="n"/>
      <c r="ECM71" s="515" t="inlineStr">
        <is>
          <t>SEGUROS</t>
        </is>
      </c>
      <c r="ECN71" s="534" t="inlineStr">
        <is>
          <t>RIMAC SEGUROS</t>
        </is>
      </c>
      <c r="ECO71" s="447" t="n"/>
      <c r="ECP71" s="529" t="n">
        <v>1086478942</v>
      </c>
      <c r="ECQ71" s="518" t="n"/>
      <c r="ECR71" s="519" t="n"/>
      <c r="ECS71" s="519" t="n">
        <v>45341</v>
      </c>
      <c r="ECV71" s="137" t="n">
        <v>218.95</v>
      </c>
      <c r="ECW71" s="30" t="n"/>
      <c r="ECX71" s="451" t="n"/>
      <c r="ECY71" s="34" t="n"/>
      <c r="ECZ71" s="30" t="n"/>
      <c r="EDA71" s="138">
        <f>+ECW71-ECY71-EDA71</f>
        <v/>
      </c>
      <c r="EDB71" s="533" t="n"/>
      <c r="EDC71" s="515" t="inlineStr">
        <is>
          <t>SEGUROS</t>
        </is>
      </c>
      <c r="EDD71" s="534" t="inlineStr">
        <is>
          <t>RIMAC SEGUROS</t>
        </is>
      </c>
      <c r="EDE71" s="447" t="n"/>
      <c r="EDF71" s="529" t="n">
        <v>1086478942</v>
      </c>
      <c r="EDG71" s="518" t="n"/>
      <c r="EDH71" s="519" t="n"/>
      <c r="EDI71" s="519" t="n">
        <v>45341</v>
      </c>
      <c r="EDL71" s="137" t="n">
        <v>218.95</v>
      </c>
      <c r="EDM71" s="30" t="n"/>
      <c r="EDN71" s="451" t="n"/>
      <c r="EDO71" s="34" t="n"/>
      <c r="EDP71" s="30" t="n"/>
      <c r="EDQ71" s="138">
        <f>+EDM71-EDO71-EDQ71</f>
        <v/>
      </c>
      <c r="EDR71" s="533" t="n"/>
      <c r="EDS71" s="515" t="inlineStr">
        <is>
          <t>SEGUROS</t>
        </is>
      </c>
      <c r="EDT71" s="534" t="inlineStr">
        <is>
          <t>RIMAC SEGUROS</t>
        </is>
      </c>
      <c r="EDU71" s="447" t="n"/>
      <c r="EDV71" s="529" t="n">
        <v>1086478942</v>
      </c>
      <c r="EDW71" s="518" t="n"/>
      <c r="EDX71" s="519" t="n"/>
      <c r="EDY71" s="519" t="n">
        <v>45341</v>
      </c>
      <c r="EEB71" s="137" t="n">
        <v>218.95</v>
      </c>
      <c r="EEC71" s="30" t="n"/>
      <c r="EED71" s="451" t="n"/>
      <c r="EEE71" s="34" t="n"/>
      <c r="EEF71" s="30" t="n"/>
      <c r="EEG71" s="138">
        <f>+EEC71-EEE71-EEG71</f>
        <v/>
      </c>
      <c r="EEH71" s="533" t="n"/>
      <c r="EEI71" s="515" t="inlineStr">
        <is>
          <t>SEGUROS</t>
        </is>
      </c>
      <c r="EEJ71" s="534" t="inlineStr">
        <is>
          <t>RIMAC SEGUROS</t>
        </is>
      </c>
      <c r="EEK71" s="447" t="n"/>
      <c r="EEL71" s="529" t="n">
        <v>1086478942</v>
      </c>
      <c r="EEM71" s="518" t="n"/>
      <c r="EEN71" s="519" t="n"/>
      <c r="EEO71" s="519" t="n">
        <v>45341</v>
      </c>
      <c r="EER71" s="137" t="n">
        <v>218.95</v>
      </c>
      <c r="EES71" s="30" t="n"/>
      <c r="EET71" s="451" t="n"/>
      <c r="EEU71" s="34" t="n"/>
      <c r="EEV71" s="30" t="n"/>
      <c r="EEW71" s="138">
        <f>+EES71-EEU71-EEW71</f>
        <v/>
      </c>
      <c r="EEX71" s="533" t="n"/>
      <c r="EEY71" s="515" t="inlineStr">
        <is>
          <t>SEGUROS</t>
        </is>
      </c>
      <c r="EEZ71" s="534" t="inlineStr">
        <is>
          <t>RIMAC SEGUROS</t>
        </is>
      </c>
      <c r="EFA71" s="447" t="n"/>
      <c r="EFB71" s="529" t="n">
        <v>1086478942</v>
      </c>
      <c r="EFC71" s="518" t="n"/>
      <c r="EFD71" s="519" t="n"/>
      <c r="EFE71" s="519" t="n">
        <v>45341</v>
      </c>
      <c r="EFH71" s="137" t="n">
        <v>218.95</v>
      </c>
      <c r="EFI71" s="30" t="n"/>
      <c r="EFJ71" s="451" t="n"/>
      <c r="EFK71" s="34" t="n"/>
      <c r="EFL71" s="30" t="n"/>
      <c r="EFM71" s="138">
        <f>+EFI71-EFK71-EFM71</f>
        <v/>
      </c>
      <c r="EFN71" s="533" t="n"/>
      <c r="EFO71" s="515" t="inlineStr">
        <is>
          <t>SEGUROS</t>
        </is>
      </c>
      <c r="EFP71" s="534" t="inlineStr">
        <is>
          <t>RIMAC SEGUROS</t>
        </is>
      </c>
      <c r="EFQ71" s="447" t="n"/>
      <c r="EFR71" s="529" t="n">
        <v>1086478942</v>
      </c>
      <c r="EFS71" s="518" t="n"/>
      <c r="EFT71" s="519" t="n"/>
      <c r="EFU71" s="519" t="n">
        <v>45341</v>
      </c>
      <c r="EFX71" s="137" t="n">
        <v>218.95</v>
      </c>
      <c r="EFY71" s="30" t="n"/>
      <c r="EFZ71" s="451" t="n"/>
      <c r="EGA71" s="34" t="n"/>
      <c r="EGB71" s="30" t="n"/>
      <c r="EGC71" s="138">
        <f>+EFY71-EGA71-EGC71</f>
        <v/>
      </c>
      <c r="EGD71" s="533" t="n"/>
      <c r="EGE71" s="515" t="inlineStr">
        <is>
          <t>SEGUROS</t>
        </is>
      </c>
      <c r="EGF71" s="534" t="inlineStr">
        <is>
          <t>RIMAC SEGUROS</t>
        </is>
      </c>
      <c r="EGG71" s="447" t="n"/>
      <c r="EGH71" s="529" t="n">
        <v>1086478942</v>
      </c>
      <c r="EGI71" s="518" t="n"/>
      <c r="EGJ71" s="519" t="n"/>
      <c r="EGK71" s="519" t="n">
        <v>45341</v>
      </c>
      <c r="EGN71" s="137" t="n">
        <v>218.95</v>
      </c>
      <c r="EGO71" s="30" t="n"/>
      <c r="EGP71" s="451" t="n"/>
      <c r="EGQ71" s="34" t="n"/>
      <c r="EGR71" s="30" t="n"/>
      <c r="EGS71" s="138">
        <f>+EGO71-EGQ71-EGS71</f>
        <v/>
      </c>
      <c r="EGT71" s="533" t="n"/>
      <c r="EGU71" s="515" t="inlineStr">
        <is>
          <t>SEGUROS</t>
        </is>
      </c>
      <c r="EGV71" s="534" t="inlineStr">
        <is>
          <t>RIMAC SEGUROS</t>
        </is>
      </c>
      <c r="EGW71" s="447" t="n"/>
      <c r="EGX71" s="529" t="n">
        <v>1086478942</v>
      </c>
      <c r="EGY71" s="518" t="n"/>
      <c r="EGZ71" s="519" t="n"/>
      <c r="EHA71" s="519" t="n">
        <v>45341</v>
      </c>
      <c r="EHD71" s="137" t="n">
        <v>218.95</v>
      </c>
      <c r="EHE71" s="30" t="n"/>
      <c r="EHF71" s="451" t="n"/>
      <c r="EHG71" s="34" t="n"/>
      <c r="EHH71" s="30" t="n"/>
      <c r="EHI71" s="138">
        <f>+EHE71-EHG71-EHI71</f>
        <v/>
      </c>
      <c r="EHJ71" s="533" t="n"/>
      <c r="EHK71" s="515" t="inlineStr">
        <is>
          <t>SEGUROS</t>
        </is>
      </c>
      <c r="EHL71" s="534" t="inlineStr">
        <is>
          <t>RIMAC SEGUROS</t>
        </is>
      </c>
      <c r="EHM71" s="447" t="n"/>
      <c r="EHN71" s="529" t="n">
        <v>1086478942</v>
      </c>
      <c r="EHO71" s="518" t="n"/>
      <c r="EHP71" s="519" t="n"/>
      <c r="EHQ71" s="519" t="n">
        <v>45341</v>
      </c>
      <c r="EHT71" s="137" t="n">
        <v>218.95</v>
      </c>
      <c r="EHU71" s="30" t="n"/>
      <c r="EHV71" s="451" t="n"/>
      <c r="EHW71" s="34" t="n"/>
      <c r="EHX71" s="30" t="n"/>
      <c r="EHY71" s="138">
        <f>+EHU71-EHW71-EHY71</f>
        <v/>
      </c>
      <c r="EHZ71" s="533" t="n"/>
      <c r="EIA71" s="515" t="inlineStr">
        <is>
          <t>SEGUROS</t>
        </is>
      </c>
      <c r="EIB71" s="534" t="inlineStr">
        <is>
          <t>RIMAC SEGUROS</t>
        </is>
      </c>
      <c r="EIC71" s="447" t="n"/>
      <c r="EID71" s="529" t="n">
        <v>1086478942</v>
      </c>
      <c r="EIE71" s="518" t="n"/>
      <c r="EIF71" s="519" t="n"/>
      <c r="EIG71" s="519" t="n">
        <v>45341</v>
      </c>
      <c r="EIJ71" s="137" t="n">
        <v>218.95</v>
      </c>
      <c r="EIK71" s="30" t="n"/>
      <c r="EIL71" s="451" t="n"/>
      <c r="EIM71" s="34" t="n"/>
      <c r="EIN71" s="30" t="n"/>
      <c r="EIO71" s="138">
        <f>+EIK71-EIM71-EIO71</f>
        <v/>
      </c>
      <c r="EIP71" s="533" t="n"/>
      <c r="EIQ71" s="515" t="inlineStr">
        <is>
          <t>SEGUROS</t>
        </is>
      </c>
      <c r="EIR71" s="534" t="inlineStr">
        <is>
          <t>RIMAC SEGUROS</t>
        </is>
      </c>
      <c r="EIS71" s="447" t="n"/>
      <c r="EIT71" s="529" t="n">
        <v>1086478942</v>
      </c>
      <c r="EIU71" s="518" t="n"/>
      <c r="EIV71" s="519" t="n"/>
      <c r="EIW71" s="519" t="n">
        <v>45341</v>
      </c>
      <c r="EIZ71" s="137" t="n">
        <v>218.95</v>
      </c>
      <c r="EJA71" s="30" t="n"/>
      <c r="EJB71" s="451" t="n"/>
      <c r="EJC71" s="34" t="n"/>
      <c r="EJD71" s="30" t="n"/>
      <c r="EJE71" s="138">
        <f>+EJA71-EJC71-EJE71</f>
        <v/>
      </c>
      <c r="EJF71" s="533" t="n"/>
      <c r="EJG71" s="515" t="inlineStr">
        <is>
          <t>SEGUROS</t>
        </is>
      </c>
      <c r="EJH71" s="534" t="inlineStr">
        <is>
          <t>RIMAC SEGUROS</t>
        </is>
      </c>
      <c r="EJI71" s="447" t="n"/>
      <c r="EJJ71" s="529" t="n">
        <v>1086478942</v>
      </c>
      <c r="EJK71" s="518" t="n"/>
      <c r="EJL71" s="519" t="n"/>
      <c r="EJM71" s="519" t="n">
        <v>45341</v>
      </c>
      <c r="EJP71" s="137" t="n">
        <v>218.95</v>
      </c>
      <c r="EJQ71" s="30" t="n"/>
      <c r="EJR71" s="451" t="n"/>
      <c r="EJS71" s="34" t="n"/>
      <c r="EJT71" s="30" t="n"/>
      <c r="EJU71" s="138">
        <f>+EJQ71-EJS71-EJU71</f>
        <v/>
      </c>
      <c r="EJV71" s="533" t="n"/>
      <c r="EJW71" s="515" t="inlineStr">
        <is>
          <t>SEGUROS</t>
        </is>
      </c>
      <c r="EJX71" s="534" t="inlineStr">
        <is>
          <t>RIMAC SEGUROS</t>
        </is>
      </c>
      <c r="EJY71" s="447" t="n"/>
      <c r="EJZ71" s="529" t="n">
        <v>1086478942</v>
      </c>
      <c r="EKA71" s="518" t="n"/>
      <c r="EKB71" s="519" t="n"/>
      <c r="EKC71" s="519" t="n">
        <v>45341</v>
      </c>
      <c r="EKF71" s="137" t="n">
        <v>218.95</v>
      </c>
      <c r="EKG71" s="30" t="n"/>
      <c r="EKH71" s="451" t="n"/>
      <c r="EKI71" s="34" t="n"/>
      <c r="EKJ71" s="30" t="n"/>
      <c r="EKK71" s="138">
        <f>+EKG71-EKI71-EKK71</f>
        <v/>
      </c>
      <c r="EKL71" s="533" t="n"/>
      <c r="EKM71" s="515" t="inlineStr">
        <is>
          <t>SEGUROS</t>
        </is>
      </c>
      <c r="EKN71" s="534" t="inlineStr">
        <is>
          <t>RIMAC SEGUROS</t>
        </is>
      </c>
      <c r="EKO71" s="447" t="n"/>
      <c r="EKP71" s="529" t="n">
        <v>1086478942</v>
      </c>
      <c r="EKQ71" s="518" t="n"/>
      <c r="EKR71" s="519" t="n"/>
      <c r="EKS71" s="519" t="n">
        <v>45341</v>
      </c>
      <c r="EKV71" s="137" t="n">
        <v>218.95</v>
      </c>
      <c r="EKW71" s="30" t="n"/>
      <c r="EKX71" s="451" t="n"/>
      <c r="EKY71" s="34" t="n"/>
      <c r="EKZ71" s="30" t="n"/>
      <c r="ELA71" s="138">
        <f>+EKW71-EKY71-ELA71</f>
        <v/>
      </c>
      <c r="ELB71" s="533" t="n"/>
      <c r="ELC71" s="515" t="inlineStr">
        <is>
          <t>SEGUROS</t>
        </is>
      </c>
      <c r="ELD71" s="534" t="inlineStr">
        <is>
          <t>RIMAC SEGUROS</t>
        </is>
      </c>
      <c r="ELE71" s="447" t="n"/>
      <c r="ELF71" s="529" t="n">
        <v>1086478942</v>
      </c>
      <c r="ELG71" s="518" t="n"/>
      <c r="ELH71" s="519" t="n"/>
      <c r="ELI71" s="519" t="n">
        <v>45341</v>
      </c>
      <c r="ELL71" s="137" t="n">
        <v>218.95</v>
      </c>
      <c r="ELM71" s="30" t="n"/>
      <c r="ELN71" s="451" t="n"/>
      <c r="ELO71" s="34" t="n"/>
      <c r="ELP71" s="30" t="n"/>
      <c r="ELQ71" s="138">
        <f>+ELM71-ELO71-ELQ71</f>
        <v/>
      </c>
      <c r="ELR71" s="533" t="n"/>
      <c r="ELS71" s="515" t="inlineStr">
        <is>
          <t>SEGUROS</t>
        </is>
      </c>
      <c r="ELT71" s="534" t="inlineStr">
        <is>
          <t>RIMAC SEGUROS</t>
        </is>
      </c>
      <c r="ELU71" s="447" t="n"/>
      <c r="ELV71" s="529" t="n">
        <v>1086478942</v>
      </c>
      <c r="ELW71" s="518" t="n"/>
      <c r="ELX71" s="519" t="n"/>
      <c r="ELY71" s="519" t="n">
        <v>45341</v>
      </c>
      <c r="EMB71" s="137" t="n">
        <v>218.95</v>
      </c>
      <c r="EMC71" s="30" t="n"/>
      <c r="EMD71" s="451" t="n"/>
      <c r="EME71" s="34" t="n"/>
      <c r="EMF71" s="30" t="n"/>
      <c r="EMG71" s="138">
        <f>+EMC71-EME71-EMG71</f>
        <v/>
      </c>
      <c r="EMH71" s="533" t="n"/>
      <c r="EMI71" s="515" t="inlineStr">
        <is>
          <t>SEGUROS</t>
        </is>
      </c>
      <c r="EMJ71" s="534" t="inlineStr">
        <is>
          <t>RIMAC SEGUROS</t>
        </is>
      </c>
      <c r="EMK71" s="447" t="n"/>
      <c r="EML71" s="529" t="n">
        <v>1086478942</v>
      </c>
      <c r="EMM71" s="518" t="n"/>
      <c r="EMN71" s="519" t="n"/>
      <c r="EMO71" s="519" t="n">
        <v>45341</v>
      </c>
      <c r="EMR71" s="137" t="n">
        <v>218.95</v>
      </c>
      <c r="EMS71" s="30" t="n"/>
      <c r="EMT71" s="451" t="n"/>
      <c r="EMU71" s="34" t="n"/>
      <c r="EMV71" s="30" t="n"/>
      <c r="EMW71" s="138">
        <f>+EMS71-EMU71-EMW71</f>
        <v/>
      </c>
      <c r="EMX71" s="533" t="n"/>
      <c r="EMY71" s="515" t="inlineStr">
        <is>
          <t>SEGUROS</t>
        </is>
      </c>
      <c r="EMZ71" s="534" t="inlineStr">
        <is>
          <t>RIMAC SEGUROS</t>
        </is>
      </c>
      <c r="ENA71" s="447" t="n"/>
      <c r="ENB71" s="529" t="n">
        <v>1086478942</v>
      </c>
      <c r="ENC71" s="518" t="n"/>
      <c r="END71" s="519" t="n"/>
      <c r="ENE71" s="519" t="n">
        <v>45341</v>
      </c>
      <c r="ENH71" s="137" t="n">
        <v>218.95</v>
      </c>
      <c r="ENI71" s="30" t="n"/>
      <c r="ENJ71" s="451" t="n"/>
      <c r="ENK71" s="34" t="n"/>
      <c r="ENL71" s="30" t="n"/>
      <c r="ENM71" s="138">
        <f>+ENI71-ENK71-ENM71</f>
        <v/>
      </c>
      <c r="ENN71" s="533" t="n"/>
      <c r="ENO71" s="515" t="inlineStr">
        <is>
          <t>SEGUROS</t>
        </is>
      </c>
      <c r="ENP71" s="534" t="inlineStr">
        <is>
          <t>RIMAC SEGUROS</t>
        </is>
      </c>
      <c r="ENQ71" s="447" t="n"/>
      <c r="ENR71" s="529" t="n">
        <v>1086478942</v>
      </c>
      <c r="ENS71" s="518" t="n"/>
      <c r="ENT71" s="519" t="n"/>
      <c r="ENU71" s="519" t="n">
        <v>45341</v>
      </c>
      <c r="ENX71" s="137" t="n">
        <v>218.95</v>
      </c>
      <c r="ENY71" s="30" t="n"/>
      <c r="ENZ71" s="451" t="n"/>
      <c r="EOA71" s="34" t="n"/>
      <c r="EOB71" s="30" t="n"/>
      <c r="EOC71" s="138">
        <f>+ENY71-EOA71-EOC71</f>
        <v/>
      </c>
      <c r="EOD71" s="533" t="n"/>
      <c r="EOE71" s="515" t="inlineStr">
        <is>
          <t>SEGUROS</t>
        </is>
      </c>
      <c r="EOF71" s="534" t="inlineStr">
        <is>
          <t>RIMAC SEGUROS</t>
        </is>
      </c>
      <c r="EOG71" s="447" t="n"/>
      <c r="EOH71" s="529" t="n">
        <v>1086478942</v>
      </c>
      <c r="EOI71" s="518" t="n"/>
      <c r="EOJ71" s="519" t="n"/>
      <c r="EOK71" s="519" t="n">
        <v>45341</v>
      </c>
      <c r="EON71" s="137" t="n">
        <v>218.95</v>
      </c>
      <c r="EOO71" s="30" t="n"/>
      <c r="EOP71" s="451" t="n"/>
      <c r="EOQ71" s="34" t="n"/>
      <c r="EOR71" s="30" t="n"/>
      <c r="EOS71" s="138">
        <f>+EOO71-EOQ71-EOS71</f>
        <v/>
      </c>
      <c r="EOT71" s="533" t="n"/>
      <c r="EOU71" s="515" t="inlineStr">
        <is>
          <t>SEGUROS</t>
        </is>
      </c>
      <c r="EOV71" s="534" t="inlineStr">
        <is>
          <t>RIMAC SEGUROS</t>
        </is>
      </c>
      <c r="EOW71" s="447" t="n"/>
      <c r="EOX71" s="529" t="n">
        <v>1086478942</v>
      </c>
      <c r="EOY71" s="518" t="n"/>
      <c r="EOZ71" s="519" t="n"/>
      <c r="EPA71" s="519" t="n">
        <v>45341</v>
      </c>
      <c r="EPD71" s="137" t="n">
        <v>218.95</v>
      </c>
      <c r="EPE71" s="30" t="n"/>
      <c r="EPF71" s="451" t="n"/>
      <c r="EPG71" s="34" t="n"/>
      <c r="EPH71" s="30" t="n"/>
      <c r="EPI71" s="138">
        <f>+EPE71-EPG71-EPI71</f>
        <v/>
      </c>
      <c r="EPJ71" s="533" t="n"/>
      <c r="EPK71" s="515" t="inlineStr">
        <is>
          <t>SEGUROS</t>
        </is>
      </c>
      <c r="EPL71" s="534" t="inlineStr">
        <is>
          <t>RIMAC SEGUROS</t>
        </is>
      </c>
      <c r="EPM71" s="447" t="n"/>
      <c r="EPN71" s="529" t="n">
        <v>1086478942</v>
      </c>
      <c r="EPO71" s="518" t="n"/>
      <c r="EPP71" s="519" t="n"/>
      <c r="EPQ71" s="519" t="n">
        <v>45341</v>
      </c>
      <c r="EPT71" s="137" t="n">
        <v>218.95</v>
      </c>
      <c r="EPU71" s="30" t="n"/>
      <c r="EPV71" s="451" t="n"/>
      <c r="EPW71" s="34" t="n"/>
      <c r="EPX71" s="30" t="n"/>
      <c r="EPY71" s="138">
        <f>+EPU71-EPW71-EPY71</f>
        <v/>
      </c>
      <c r="EPZ71" s="533" t="n"/>
      <c r="EQA71" s="515" t="inlineStr">
        <is>
          <t>SEGUROS</t>
        </is>
      </c>
      <c r="EQB71" s="534" t="inlineStr">
        <is>
          <t>RIMAC SEGUROS</t>
        </is>
      </c>
      <c r="EQC71" s="447" t="n"/>
      <c r="EQD71" s="529" t="n">
        <v>1086478942</v>
      </c>
      <c r="EQE71" s="518" t="n"/>
      <c r="EQF71" s="519" t="n"/>
      <c r="EQG71" s="519" t="n">
        <v>45341</v>
      </c>
      <c r="EQJ71" s="137" t="n">
        <v>218.95</v>
      </c>
      <c r="EQK71" s="30" t="n"/>
      <c r="EQL71" s="451" t="n"/>
      <c r="EQM71" s="34" t="n"/>
      <c r="EQN71" s="30" t="n"/>
      <c r="EQO71" s="138">
        <f>+EQK71-EQM71-EQO71</f>
        <v/>
      </c>
      <c r="EQP71" s="533" t="n"/>
      <c r="EQQ71" s="515" t="inlineStr">
        <is>
          <t>SEGUROS</t>
        </is>
      </c>
      <c r="EQR71" s="534" t="inlineStr">
        <is>
          <t>RIMAC SEGUROS</t>
        </is>
      </c>
      <c r="EQS71" s="447" t="n"/>
      <c r="EQT71" s="529" t="n">
        <v>1086478942</v>
      </c>
      <c r="EQU71" s="518" t="n"/>
      <c r="EQV71" s="519" t="n"/>
      <c r="EQW71" s="519" t="n">
        <v>45341</v>
      </c>
      <c r="EQZ71" s="137" t="n">
        <v>218.95</v>
      </c>
      <c r="ERA71" s="30" t="n"/>
      <c r="ERB71" s="451" t="n"/>
      <c r="ERC71" s="34" t="n"/>
      <c r="ERD71" s="30" t="n"/>
      <c r="ERE71" s="138">
        <f>+ERA71-ERC71-ERE71</f>
        <v/>
      </c>
      <c r="ERF71" s="533" t="n"/>
      <c r="ERG71" s="515" t="inlineStr">
        <is>
          <t>SEGUROS</t>
        </is>
      </c>
      <c r="ERH71" s="534" t="inlineStr">
        <is>
          <t>RIMAC SEGUROS</t>
        </is>
      </c>
      <c r="ERI71" s="447" t="n"/>
      <c r="ERJ71" s="529" t="n">
        <v>1086478942</v>
      </c>
      <c r="ERK71" s="518" t="n"/>
      <c r="ERL71" s="519" t="n"/>
      <c r="ERM71" s="519" t="n">
        <v>45341</v>
      </c>
      <c r="ERP71" s="137" t="n">
        <v>218.95</v>
      </c>
      <c r="ERQ71" s="30" t="n"/>
      <c r="ERR71" s="451" t="n"/>
      <c r="ERS71" s="34" t="n"/>
      <c r="ERT71" s="30" t="n"/>
      <c r="ERU71" s="138">
        <f>+ERQ71-ERS71-ERU71</f>
        <v/>
      </c>
      <c r="ERV71" s="533" t="n"/>
      <c r="ERW71" s="515" t="inlineStr">
        <is>
          <t>SEGUROS</t>
        </is>
      </c>
      <c r="ERX71" s="534" t="inlineStr">
        <is>
          <t>RIMAC SEGUROS</t>
        </is>
      </c>
      <c r="ERY71" s="447" t="n"/>
      <c r="ERZ71" s="529" t="n">
        <v>1086478942</v>
      </c>
      <c r="ESA71" s="518" t="n"/>
      <c r="ESB71" s="519" t="n"/>
      <c r="ESC71" s="519" t="n">
        <v>45341</v>
      </c>
      <c r="ESF71" s="137" t="n">
        <v>218.95</v>
      </c>
      <c r="ESG71" s="30" t="n"/>
      <c r="ESH71" s="451" t="n"/>
      <c r="ESI71" s="34" t="n"/>
      <c r="ESJ71" s="30" t="n"/>
      <c r="ESK71" s="138">
        <f>+ESG71-ESI71-ESK71</f>
        <v/>
      </c>
      <c r="ESL71" s="533" t="n"/>
      <c r="ESM71" s="515" t="inlineStr">
        <is>
          <t>SEGUROS</t>
        </is>
      </c>
      <c r="ESN71" s="534" t="inlineStr">
        <is>
          <t>RIMAC SEGUROS</t>
        </is>
      </c>
      <c r="ESO71" s="447" t="n"/>
      <c r="ESP71" s="529" t="n">
        <v>1086478942</v>
      </c>
      <c r="ESQ71" s="518" t="n"/>
      <c r="ESR71" s="519" t="n"/>
      <c r="ESS71" s="519" t="n">
        <v>45341</v>
      </c>
      <c r="ESV71" s="137" t="n">
        <v>218.95</v>
      </c>
      <c r="ESW71" s="30" t="n"/>
      <c r="ESX71" s="451" t="n"/>
      <c r="ESY71" s="34" t="n"/>
      <c r="ESZ71" s="30" t="n"/>
      <c r="ETA71" s="138">
        <f>+ESW71-ESY71-ETA71</f>
        <v/>
      </c>
      <c r="ETB71" s="533" t="n"/>
      <c r="ETC71" s="515" t="inlineStr">
        <is>
          <t>SEGUROS</t>
        </is>
      </c>
      <c r="ETD71" s="534" t="inlineStr">
        <is>
          <t>RIMAC SEGUROS</t>
        </is>
      </c>
      <c r="ETE71" s="447" t="n"/>
      <c r="ETF71" s="529" t="n">
        <v>1086478942</v>
      </c>
      <c r="ETG71" s="518" t="n"/>
      <c r="ETH71" s="519" t="n"/>
      <c r="ETI71" s="519" t="n">
        <v>45341</v>
      </c>
      <c r="ETL71" s="137" t="n">
        <v>218.95</v>
      </c>
      <c r="ETM71" s="30" t="n"/>
      <c r="ETN71" s="451" t="n"/>
      <c r="ETO71" s="34" t="n"/>
      <c r="ETP71" s="30" t="n"/>
      <c r="ETQ71" s="138">
        <f>+ETM71-ETO71-ETQ71</f>
        <v/>
      </c>
      <c r="ETR71" s="533" t="n"/>
      <c r="ETS71" s="515" t="inlineStr">
        <is>
          <t>SEGUROS</t>
        </is>
      </c>
      <c r="ETT71" s="534" t="inlineStr">
        <is>
          <t>RIMAC SEGUROS</t>
        </is>
      </c>
      <c r="ETU71" s="447" t="n"/>
      <c r="ETV71" s="529" t="n">
        <v>1086478942</v>
      </c>
      <c r="ETW71" s="518" t="n"/>
      <c r="ETX71" s="519" t="n"/>
      <c r="ETY71" s="519" t="n">
        <v>45341</v>
      </c>
      <c r="EUB71" s="137" t="n">
        <v>218.95</v>
      </c>
      <c r="EUC71" s="30" t="n"/>
      <c r="EUD71" s="451" t="n"/>
      <c r="EUE71" s="34" t="n"/>
      <c r="EUF71" s="30" t="n"/>
      <c r="EUG71" s="138">
        <f>+EUC71-EUE71-EUG71</f>
        <v/>
      </c>
      <c r="EUH71" s="533" t="n"/>
      <c r="EUI71" s="515" t="inlineStr">
        <is>
          <t>SEGUROS</t>
        </is>
      </c>
      <c r="EUJ71" s="534" t="inlineStr">
        <is>
          <t>RIMAC SEGUROS</t>
        </is>
      </c>
      <c r="EUK71" s="447" t="n"/>
      <c r="EUL71" s="529" t="n">
        <v>1086478942</v>
      </c>
      <c r="EUM71" s="518" t="n"/>
      <c r="EUN71" s="519" t="n"/>
      <c r="EUO71" s="519" t="n">
        <v>45341</v>
      </c>
      <c r="EUR71" s="137" t="n">
        <v>218.95</v>
      </c>
      <c r="EUS71" s="30" t="n"/>
      <c r="EUT71" s="451" t="n"/>
      <c r="EUU71" s="34" t="n"/>
      <c r="EUV71" s="30" t="n"/>
      <c r="EUW71" s="138">
        <f>+EUS71-EUU71-EUW71</f>
        <v/>
      </c>
      <c r="EUX71" s="533" t="n"/>
      <c r="EUY71" s="515" t="inlineStr">
        <is>
          <t>SEGUROS</t>
        </is>
      </c>
      <c r="EUZ71" s="534" t="inlineStr">
        <is>
          <t>RIMAC SEGUROS</t>
        </is>
      </c>
      <c r="EVA71" s="447" t="n"/>
      <c r="EVB71" s="529" t="n">
        <v>1086478942</v>
      </c>
      <c r="EVC71" s="518" t="n"/>
      <c r="EVD71" s="519" t="n"/>
      <c r="EVE71" s="519" t="n">
        <v>45341</v>
      </c>
      <c r="EVH71" s="137" t="n">
        <v>218.95</v>
      </c>
      <c r="EVI71" s="30" t="n"/>
      <c r="EVJ71" s="451" t="n"/>
      <c r="EVK71" s="34" t="n"/>
      <c r="EVL71" s="30" t="n"/>
      <c r="EVM71" s="138">
        <f>+EVI71-EVK71-EVM71</f>
        <v/>
      </c>
      <c r="EVN71" s="533" t="n"/>
      <c r="EVO71" s="515" t="inlineStr">
        <is>
          <t>SEGUROS</t>
        </is>
      </c>
      <c r="EVP71" s="534" t="inlineStr">
        <is>
          <t>RIMAC SEGUROS</t>
        </is>
      </c>
      <c r="EVQ71" s="447" t="n"/>
      <c r="EVR71" s="529" t="n">
        <v>1086478942</v>
      </c>
      <c r="EVS71" s="518" t="n"/>
      <c r="EVT71" s="519" t="n"/>
      <c r="EVU71" s="519" t="n">
        <v>45341</v>
      </c>
      <c r="EVX71" s="137" t="n">
        <v>218.95</v>
      </c>
      <c r="EVY71" s="30" t="n"/>
      <c r="EVZ71" s="451" t="n"/>
      <c r="EWA71" s="34" t="n"/>
      <c r="EWB71" s="30" t="n"/>
      <c r="EWC71" s="138">
        <f>+EVY71-EWA71-EWC71</f>
        <v/>
      </c>
      <c r="EWD71" s="533" t="n"/>
      <c r="EWE71" s="515" t="inlineStr">
        <is>
          <t>SEGUROS</t>
        </is>
      </c>
      <c r="EWF71" s="534" t="inlineStr">
        <is>
          <t>RIMAC SEGUROS</t>
        </is>
      </c>
      <c r="EWG71" s="447" t="n"/>
      <c r="EWH71" s="529" t="n">
        <v>1086478942</v>
      </c>
      <c r="EWI71" s="518" t="n"/>
      <c r="EWJ71" s="519" t="n"/>
      <c r="EWK71" s="519" t="n">
        <v>45341</v>
      </c>
      <c r="EWN71" s="137" t="n">
        <v>218.95</v>
      </c>
      <c r="EWO71" s="30" t="n"/>
      <c r="EWP71" s="451" t="n"/>
      <c r="EWQ71" s="34" t="n"/>
      <c r="EWR71" s="30" t="n"/>
      <c r="EWS71" s="138">
        <f>+EWO71-EWQ71-EWS71</f>
        <v/>
      </c>
      <c r="EWT71" s="533" t="n"/>
      <c r="EWU71" s="515" t="inlineStr">
        <is>
          <t>SEGUROS</t>
        </is>
      </c>
      <c r="EWV71" s="534" t="inlineStr">
        <is>
          <t>RIMAC SEGUROS</t>
        </is>
      </c>
      <c r="EWW71" s="447" t="n"/>
      <c r="EWX71" s="529" t="n">
        <v>1086478942</v>
      </c>
      <c r="EWY71" s="518" t="n"/>
      <c r="EWZ71" s="519" t="n"/>
      <c r="EXA71" s="519" t="n">
        <v>45341</v>
      </c>
      <c r="EXD71" s="137" t="n">
        <v>218.95</v>
      </c>
      <c r="EXE71" s="30" t="n"/>
      <c r="EXF71" s="451" t="n"/>
      <c r="EXG71" s="34" t="n"/>
      <c r="EXH71" s="30" t="n"/>
      <c r="EXI71" s="138">
        <f>+EXE71-EXG71-EXI71</f>
        <v/>
      </c>
      <c r="EXJ71" s="533" t="n"/>
      <c r="EXK71" s="515" t="inlineStr">
        <is>
          <t>SEGUROS</t>
        </is>
      </c>
      <c r="EXL71" s="534" t="inlineStr">
        <is>
          <t>RIMAC SEGUROS</t>
        </is>
      </c>
      <c r="EXM71" s="447" t="n"/>
      <c r="EXN71" s="529" t="n">
        <v>1086478942</v>
      </c>
      <c r="EXO71" s="518" t="n"/>
      <c r="EXP71" s="519" t="n"/>
      <c r="EXQ71" s="519" t="n">
        <v>45341</v>
      </c>
      <c r="EXT71" s="137" t="n">
        <v>218.95</v>
      </c>
      <c r="EXU71" s="30" t="n"/>
      <c r="EXV71" s="451" t="n"/>
      <c r="EXW71" s="34" t="n"/>
      <c r="EXX71" s="30" t="n"/>
      <c r="EXY71" s="138">
        <f>+EXU71-EXW71-EXY71</f>
        <v/>
      </c>
      <c r="EXZ71" s="533" t="n"/>
      <c r="EYA71" s="515" t="inlineStr">
        <is>
          <t>SEGUROS</t>
        </is>
      </c>
      <c r="EYB71" s="534" t="inlineStr">
        <is>
          <t>RIMAC SEGUROS</t>
        </is>
      </c>
      <c r="EYC71" s="447" t="n"/>
      <c r="EYD71" s="529" t="n">
        <v>1086478942</v>
      </c>
      <c r="EYE71" s="518" t="n"/>
      <c r="EYF71" s="519" t="n"/>
      <c r="EYG71" s="519" t="n">
        <v>45341</v>
      </c>
      <c r="EYJ71" s="137" t="n">
        <v>218.95</v>
      </c>
      <c r="EYK71" s="30" t="n"/>
      <c r="EYL71" s="451" t="n"/>
      <c r="EYM71" s="34" t="n"/>
      <c r="EYN71" s="30" t="n"/>
      <c r="EYO71" s="138">
        <f>+EYK71-EYM71-EYO71</f>
        <v/>
      </c>
      <c r="EYP71" s="533" t="n"/>
      <c r="EYQ71" s="515" t="inlineStr">
        <is>
          <t>SEGUROS</t>
        </is>
      </c>
      <c r="EYR71" s="534" t="inlineStr">
        <is>
          <t>RIMAC SEGUROS</t>
        </is>
      </c>
      <c r="EYS71" s="447" t="n"/>
      <c r="EYT71" s="529" t="n">
        <v>1086478942</v>
      </c>
      <c r="EYU71" s="518" t="n"/>
      <c r="EYV71" s="519" t="n"/>
      <c r="EYW71" s="519" t="n">
        <v>45341</v>
      </c>
      <c r="EYZ71" s="137" t="n">
        <v>218.95</v>
      </c>
      <c r="EZA71" s="30" t="n"/>
      <c r="EZB71" s="451" t="n"/>
      <c r="EZC71" s="34" t="n"/>
      <c r="EZD71" s="30" t="n"/>
      <c r="EZE71" s="138">
        <f>+EZA71-EZC71-EZE71</f>
        <v/>
      </c>
      <c r="EZF71" s="533" t="n"/>
      <c r="EZG71" s="515" t="inlineStr">
        <is>
          <t>SEGUROS</t>
        </is>
      </c>
      <c r="EZH71" s="534" t="inlineStr">
        <is>
          <t>RIMAC SEGUROS</t>
        </is>
      </c>
      <c r="EZI71" s="447" t="n"/>
      <c r="EZJ71" s="529" t="n">
        <v>1086478942</v>
      </c>
      <c r="EZK71" s="518" t="n"/>
      <c r="EZL71" s="519" t="n"/>
      <c r="EZM71" s="519" t="n">
        <v>45341</v>
      </c>
      <c r="EZP71" s="137" t="n">
        <v>218.95</v>
      </c>
      <c r="EZQ71" s="30" t="n"/>
      <c r="EZR71" s="451" t="n"/>
      <c r="EZS71" s="34" t="n"/>
      <c r="EZT71" s="30" t="n"/>
      <c r="EZU71" s="138">
        <f>+EZQ71-EZS71-EZU71</f>
        <v/>
      </c>
      <c r="EZV71" s="533" t="n"/>
      <c r="EZW71" s="515" t="inlineStr">
        <is>
          <t>SEGUROS</t>
        </is>
      </c>
      <c r="EZX71" s="534" t="inlineStr">
        <is>
          <t>RIMAC SEGUROS</t>
        </is>
      </c>
      <c r="EZY71" s="447" t="n"/>
      <c r="EZZ71" s="529" t="n">
        <v>1086478942</v>
      </c>
      <c r="FAA71" s="518" t="n"/>
      <c r="FAB71" s="519" t="n"/>
      <c r="FAC71" s="519" t="n">
        <v>45341</v>
      </c>
      <c r="FAF71" s="137" t="n">
        <v>218.95</v>
      </c>
      <c r="FAG71" s="30" t="n"/>
      <c r="FAH71" s="451" t="n"/>
      <c r="FAI71" s="34" t="n"/>
      <c r="FAJ71" s="30" t="n"/>
      <c r="FAK71" s="138">
        <f>+FAG71-FAI71-FAK71</f>
        <v/>
      </c>
      <c r="FAL71" s="533" t="n"/>
      <c r="FAM71" s="515" t="inlineStr">
        <is>
          <t>SEGUROS</t>
        </is>
      </c>
      <c r="FAN71" s="534" t="inlineStr">
        <is>
          <t>RIMAC SEGUROS</t>
        </is>
      </c>
      <c r="FAO71" s="447" t="n"/>
      <c r="FAP71" s="529" t="n">
        <v>1086478942</v>
      </c>
      <c r="FAQ71" s="518" t="n"/>
      <c r="FAR71" s="519" t="n"/>
      <c r="FAS71" s="519" t="n">
        <v>45341</v>
      </c>
      <c r="FAV71" s="137" t="n">
        <v>218.95</v>
      </c>
      <c r="FAW71" s="30" t="n"/>
      <c r="FAX71" s="451" t="n"/>
      <c r="FAY71" s="34" t="n"/>
      <c r="FAZ71" s="30" t="n"/>
      <c r="FBA71" s="138">
        <f>+FAW71-FAY71-FBA71</f>
        <v/>
      </c>
      <c r="FBB71" s="533" t="n"/>
      <c r="FBC71" s="515" t="inlineStr">
        <is>
          <t>SEGUROS</t>
        </is>
      </c>
      <c r="FBD71" s="534" t="inlineStr">
        <is>
          <t>RIMAC SEGUROS</t>
        </is>
      </c>
      <c r="FBE71" s="447" t="n"/>
      <c r="FBF71" s="529" t="n">
        <v>1086478942</v>
      </c>
      <c r="FBG71" s="518" t="n"/>
      <c r="FBH71" s="519" t="n"/>
      <c r="FBI71" s="519" t="n">
        <v>45341</v>
      </c>
      <c r="FBL71" s="137" t="n">
        <v>218.95</v>
      </c>
      <c r="FBM71" s="30" t="n"/>
      <c r="FBN71" s="451" t="n"/>
      <c r="FBO71" s="34" t="n"/>
      <c r="FBP71" s="30" t="n"/>
      <c r="FBQ71" s="138">
        <f>+FBM71-FBO71-FBQ71</f>
        <v/>
      </c>
      <c r="FBR71" s="533" t="n"/>
      <c r="FBS71" s="515" t="inlineStr">
        <is>
          <t>SEGUROS</t>
        </is>
      </c>
      <c r="FBT71" s="534" t="inlineStr">
        <is>
          <t>RIMAC SEGUROS</t>
        </is>
      </c>
      <c r="FBU71" s="447" t="n"/>
      <c r="FBV71" s="529" t="n">
        <v>1086478942</v>
      </c>
      <c r="FBW71" s="518" t="n"/>
      <c r="FBX71" s="519" t="n"/>
      <c r="FBY71" s="519" t="n">
        <v>45341</v>
      </c>
      <c r="FCB71" s="137" t="n">
        <v>218.95</v>
      </c>
      <c r="FCC71" s="30" t="n"/>
      <c r="FCD71" s="451" t="n"/>
      <c r="FCE71" s="34" t="n"/>
      <c r="FCF71" s="30" t="n"/>
      <c r="FCG71" s="138">
        <f>+FCC71-FCE71-FCG71</f>
        <v/>
      </c>
      <c r="FCH71" s="533" t="n"/>
      <c r="FCI71" s="515" t="inlineStr">
        <is>
          <t>SEGUROS</t>
        </is>
      </c>
      <c r="FCJ71" s="534" t="inlineStr">
        <is>
          <t>RIMAC SEGUROS</t>
        </is>
      </c>
      <c r="FCK71" s="447" t="n"/>
      <c r="FCL71" s="529" t="n">
        <v>1086478942</v>
      </c>
      <c r="FCM71" s="518" t="n"/>
      <c r="FCN71" s="519" t="n"/>
      <c r="FCO71" s="519" t="n">
        <v>45341</v>
      </c>
      <c r="FCR71" s="137" t="n">
        <v>218.95</v>
      </c>
      <c r="FCS71" s="30" t="n"/>
      <c r="FCT71" s="451" t="n"/>
      <c r="FCU71" s="34" t="n"/>
      <c r="FCV71" s="30" t="n"/>
      <c r="FCW71" s="138">
        <f>+FCS71-FCU71-FCW71</f>
        <v/>
      </c>
      <c r="FCX71" s="533" t="n"/>
      <c r="FCY71" s="515" t="inlineStr">
        <is>
          <t>SEGUROS</t>
        </is>
      </c>
      <c r="FCZ71" s="534" t="inlineStr">
        <is>
          <t>RIMAC SEGUROS</t>
        </is>
      </c>
      <c r="FDA71" s="447" t="n"/>
      <c r="FDB71" s="529" t="n">
        <v>1086478942</v>
      </c>
      <c r="FDC71" s="518" t="n"/>
      <c r="FDD71" s="519" t="n"/>
      <c r="FDE71" s="519" t="n">
        <v>45341</v>
      </c>
      <c r="FDH71" s="137" t="n">
        <v>218.95</v>
      </c>
      <c r="FDI71" s="30" t="n"/>
      <c r="FDJ71" s="451" t="n"/>
      <c r="FDK71" s="34" t="n"/>
      <c r="FDL71" s="30" t="n"/>
      <c r="FDM71" s="138">
        <f>+FDI71-FDK71-FDM71</f>
        <v/>
      </c>
      <c r="FDN71" s="533" t="n"/>
      <c r="FDO71" s="515" t="inlineStr">
        <is>
          <t>SEGUROS</t>
        </is>
      </c>
      <c r="FDP71" s="534" t="inlineStr">
        <is>
          <t>RIMAC SEGUROS</t>
        </is>
      </c>
      <c r="FDQ71" s="447" t="n"/>
      <c r="FDR71" s="529" t="n">
        <v>1086478942</v>
      </c>
      <c r="FDS71" s="518" t="n"/>
      <c r="FDT71" s="519" t="n"/>
      <c r="FDU71" s="519" t="n">
        <v>45341</v>
      </c>
      <c r="FDX71" s="137" t="n">
        <v>218.95</v>
      </c>
      <c r="FDY71" s="30" t="n"/>
      <c r="FDZ71" s="451" t="n"/>
      <c r="FEA71" s="34" t="n"/>
      <c r="FEB71" s="30" t="n"/>
      <c r="FEC71" s="138">
        <f>+FDY71-FEA71-FEC71</f>
        <v/>
      </c>
      <c r="FED71" s="533" t="n"/>
      <c r="FEE71" s="515" t="inlineStr">
        <is>
          <t>SEGUROS</t>
        </is>
      </c>
      <c r="FEF71" s="534" t="inlineStr">
        <is>
          <t>RIMAC SEGUROS</t>
        </is>
      </c>
      <c r="FEG71" s="447" t="n"/>
      <c r="FEH71" s="529" t="n">
        <v>1086478942</v>
      </c>
      <c r="FEI71" s="518" t="n"/>
      <c r="FEJ71" s="519" t="n"/>
      <c r="FEK71" s="519" t="n">
        <v>45341</v>
      </c>
      <c r="FEN71" s="137" t="n">
        <v>218.95</v>
      </c>
      <c r="FEO71" s="30" t="n"/>
      <c r="FEP71" s="451" t="n"/>
      <c r="FEQ71" s="34" t="n"/>
      <c r="FER71" s="30" t="n"/>
      <c r="FES71" s="138">
        <f>+FEO71-FEQ71-FES71</f>
        <v/>
      </c>
      <c r="FET71" s="533" t="n"/>
      <c r="FEU71" s="515" t="inlineStr">
        <is>
          <t>SEGUROS</t>
        </is>
      </c>
      <c r="FEV71" s="534" t="inlineStr">
        <is>
          <t>RIMAC SEGUROS</t>
        </is>
      </c>
      <c r="FEW71" s="447" t="n"/>
      <c r="FEX71" s="529" t="n">
        <v>1086478942</v>
      </c>
      <c r="FEY71" s="518" t="n"/>
      <c r="FEZ71" s="519" t="n"/>
      <c r="FFA71" s="519" t="n">
        <v>45341</v>
      </c>
      <c r="FFD71" s="137" t="n">
        <v>218.95</v>
      </c>
      <c r="FFE71" s="30" t="n"/>
      <c r="FFF71" s="451" t="n"/>
      <c r="FFG71" s="34" t="n"/>
      <c r="FFH71" s="30" t="n"/>
      <c r="FFI71" s="138">
        <f>+FFE71-FFG71-FFI71</f>
        <v/>
      </c>
      <c r="FFJ71" s="533" t="n"/>
      <c r="FFK71" s="515" t="inlineStr">
        <is>
          <t>SEGUROS</t>
        </is>
      </c>
      <c r="FFL71" s="534" t="inlineStr">
        <is>
          <t>RIMAC SEGUROS</t>
        </is>
      </c>
      <c r="FFM71" s="447" t="n"/>
      <c r="FFN71" s="529" t="n">
        <v>1086478942</v>
      </c>
      <c r="FFO71" s="518" t="n"/>
      <c r="FFP71" s="519" t="n"/>
      <c r="FFQ71" s="519" t="n">
        <v>45341</v>
      </c>
      <c r="FFT71" s="137" t="n">
        <v>218.95</v>
      </c>
      <c r="FFU71" s="30" t="n"/>
      <c r="FFV71" s="451" t="n"/>
      <c r="FFW71" s="34" t="n"/>
      <c r="FFX71" s="30" t="n"/>
      <c r="FFY71" s="138">
        <f>+FFU71-FFW71-FFY71</f>
        <v/>
      </c>
      <c r="FFZ71" s="533" t="n"/>
      <c r="FGA71" s="515" t="inlineStr">
        <is>
          <t>SEGUROS</t>
        </is>
      </c>
      <c r="FGB71" s="534" t="inlineStr">
        <is>
          <t>RIMAC SEGUROS</t>
        </is>
      </c>
      <c r="FGC71" s="447" t="n"/>
      <c r="FGD71" s="529" t="n">
        <v>1086478942</v>
      </c>
      <c r="FGE71" s="518" t="n"/>
      <c r="FGF71" s="519" t="n"/>
      <c r="FGG71" s="519" t="n">
        <v>45341</v>
      </c>
      <c r="FGJ71" s="137" t="n">
        <v>218.95</v>
      </c>
      <c r="FGK71" s="30" t="n"/>
      <c r="FGL71" s="451" t="n"/>
      <c r="FGM71" s="34" t="n"/>
      <c r="FGN71" s="30" t="n"/>
      <c r="FGO71" s="138">
        <f>+FGK71-FGM71-FGO71</f>
        <v/>
      </c>
      <c r="FGP71" s="533" t="n"/>
      <c r="FGQ71" s="515" t="inlineStr">
        <is>
          <t>SEGUROS</t>
        </is>
      </c>
      <c r="FGR71" s="534" t="inlineStr">
        <is>
          <t>RIMAC SEGUROS</t>
        </is>
      </c>
      <c r="FGS71" s="447" t="n"/>
      <c r="FGT71" s="529" t="n">
        <v>1086478942</v>
      </c>
      <c r="FGU71" s="518" t="n"/>
      <c r="FGV71" s="519" t="n"/>
      <c r="FGW71" s="519" t="n">
        <v>45341</v>
      </c>
      <c r="FGZ71" s="137" t="n">
        <v>218.95</v>
      </c>
      <c r="FHA71" s="30" t="n"/>
      <c r="FHB71" s="451" t="n"/>
      <c r="FHC71" s="34" t="n"/>
      <c r="FHD71" s="30" t="n"/>
      <c r="FHE71" s="138">
        <f>+FHA71-FHC71-FHE71</f>
        <v/>
      </c>
      <c r="FHF71" s="533" t="n"/>
      <c r="FHG71" s="515" t="inlineStr">
        <is>
          <t>SEGUROS</t>
        </is>
      </c>
      <c r="FHH71" s="534" t="inlineStr">
        <is>
          <t>RIMAC SEGUROS</t>
        </is>
      </c>
      <c r="FHI71" s="447" t="n"/>
      <c r="FHJ71" s="529" t="n">
        <v>1086478942</v>
      </c>
      <c r="FHK71" s="518" t="n"/>
      <c r="FHL71" s="519" t="n"/>
      <c r="FHM71" s="519" t="n">
        <v>45341</v>
      </c>
      <c r="FHP71" s="137" t="n">
        <v>218.95</v>
      </c>
      <c r="FHQ71" s="30" t="n"/>
      <c r="FHR71" s="451" t="n"/>
      <c r="FHS71" s="34" t="n"/>
      <c r="FHT71" s="30" t="n"/>
      <c r="FHU71" s="138">
        <f>+FHQ71-FHS71-FHU71</f>
        <v/>
      </c>
      <c r="FHV71" s="533" t="n"/>
      <c r="FHW71" s="515" t="inlineStr">
        <is>
          <t>SEGUROS</t>
        </is>
      </c>
      <c r="FHX71" s="534" t="inlineStr">
        <is>
          <t>RIMAC SEGUROS</t>
        </is>
      </c>
      <c r="FHY71" s="447" t="n"/>
      <c r="FHZ71" s="529" t="n">
        <v>1086478942</v>
      </c>
      <c r="FIA71" s="518" t="n"/>
      <c r="FIB71" s="519" t="n"/>
      <c r="FIC71" s="519" t="n">
        <v>45341</v>
      </c>
      <c r="FIF71" s="137" t="n">
        <v>218.95</v>
      </c>
      <c r="FIG71" s="30" t="n"/>
      <c r="FIH71" s="451" t="n"/>
      <c r="FII71" s="34" t="n"/>
      <c r="FIJ71" s="30" t="n"/>
      <c r="FIK71" s="138">
        <f>+FIG71-FII71-FIK71</f>
        <v/>
      </c>
      <c r="FIL71" s="533" t="n"/>
      <c r="FIM71" s="515" t="inlineStr">
        <is>
          <t>SEGUROS</t>
        </is>
      </c>
      <c r="FIN71" s="534" t="inlineStr">
        <is>
          <t>RIMAC SEGUROS</t>
        </is>
      </c>
      <c r="FIO71" s="447" t="n"/>
      <c r="FIP71" s="529" t="n">
        <v>1086478942</v>
      </c>
      <c r="FIQ71" s="518" t="n"/>
      <c r="FIR71" s="519" t="n"/>
      <c r="FIS71" s="519" t="n">
        <v>45341</v>
      </c>
      <c r="FIV71" s="137" t="n">
        <v>218.95</v>
      </c>
      <c r="FIW71" s="30" t="n"/>
      <c r="FIX71" s="451" t="n"/>
      <c r="FIY71" s="34" t="n"/>
      <c r="FIZ71" s="30" t="n"/>
      <c r="FJA71" s="138">
        <f>+FIW71-FIY71-FJA71</f>
        <v/>
      </c>
      <c r="FJB71" s="533" t="n"/>
      <c r="FJC71" s="515" t="inlineStr">
        <is>
          <t>SEGUROS</t>
        </is>
      </c>
      <c r="FJD71" s="534" t="inlineStr">
        <is>
          <t>RIMAC SEGUROS</t>
        </is>
      </c>
      <c r="FJE71" s="447" t="n"/>
      <c r="FJF71" s="529" t="n">
        <v>1086478942</v>
      </c>
      <c r="FJG71" s="518" t="n"/>
      <c r="FJH71" s="519" t="n"/>
      <c r="FJI71" s="519" t="n">
        <v>45341</v>
      </c>
      <c r="FJL71" s="137" t="n">
        <v>218.95</v>
      </c>
      <c r="FJM71" s="30" t="n"/>
      <c r="FJN71" s="451" t="n"/>
      <c r="FJO71" s="34" t="n"/>
      <c r="FJP71" s="30" t="n"/>
      <c r="FJQ71" s="138">
        <f>+FJM71-FJO71-FJQ71</f>
        <v/>
      </c>
      <c r="FJR71" s="533" t="n"/>
      <c r="FJS71" s="515" t="inlineStr">
        <is>
          <t>SEGUROS</t>
        </is>
      </c>
      <c r="FJT71" s="534" t="inlineStr">
        <is>
          <t>RIMAC SEGUROS</t>
        </is>
      </c>
      <c r="FJU71" s="447" t="n"/>
      <c r="FJV71" s="529" t="n">
        <v>1086478942</v>
      </c>
      <c r="FJW71" s="518" t="n"/>
      <c r="FJX71" s="519" t="n"/>
      <c r="FJY71" s="519" t="n">
        <v>45341</v>
      </c>
      <c r="FKB71" s="137" t="n">
        <v>218.95</v>
      </c>
      <c r="FKC71" s="30" t="n"/>
      <c r="FKD71" s="451" t="n"/>
      <c r="FKE71" s="34" t="n"/>
      <c r="FKF71" s="30" t="n"/>
      <c r="FKG71" s="138">
        <f>+FKC71-FKE71-FKG71</f>
        <v/>
      </c>
      <c r="FKH71" s="533" t="n"/>
      <c r="FKI71" s="515" t="inlineStr">
        <is>
          <t>SEGUROS</t>
        </is>
      </c>
      <c r="FKJ71" s="534" t="inlineStr">
        <is>
          <t>RIMAC SEGUROS</t>
        </is>
      </c>
      <c r="FKK71" s="447" t="n"/>
      <c r="FKL71" s="529" t="n">
        <v>1086478942</v>
      </c>
      <c r="FKM71" s="518" t="n"/>
      <c r="FKN71" s="519" t="n"/>
      <c r="FKO71" s="519" t="n">
        <v>45341</v>
      </c>
      <c r="FKR71" s="137" t="n">
        <v>218.95</v>
      </c>
      <c r="FKS71" s="30" t="n"/>
      <c r="FKT71" s="451" t="n"/>
      <c r="FKU71" s="34" t="n"/>
      <c r="FKV71" s="30" t="n"/>
      <c r="FKW71" s="138">
        <f>+FKS71-FKU71-FKW71</f>
        <v/>
      </c>
      <c r="FKX71" s="533" t="n"/>
      <c r="FKY71" s="515" t="inlineStr">
        <is>
          <t>SEGUROS</t>
        </is>
      </c>
      <c r="FKZ71" s="534" t="inlineStr">
        <is>
          <t>RIMAC SEGUROS</t>
        </is>
      </c>
      <c r="FLA71" s="447" t="n"/>
      <c r="FLB71" s="529" t="n">
        <v>1086478942</v>
      </c>
      <c r="FLC71" s="518" t="n"/>
      <c r="FLD71" s="519" t="n"/>
      <c r="FLE71" s="519" t="n">
        <v>45341</v>
      </c>
      <c r="FLH71" s="137" t="n">
        <v>218.95</v>
      </c>
      <c r="FLI71" s="30" t="n"/>
      <c r="FLJ71" s="451" t="n"/>
      <c r="FLK71" s="34" t="n"/>
      <c r="FLL71" s="30" t="n"/>
      <c r="FLM71" s="138">
        <f>+FLI71-FLK71-FLM71</f>
        <v/>
      </c>
      <c r="FLN71" s="533" t="n"/>
      <c r="FLO71" s="515" t="inlineStr">
        <is>
          <t>SEGUROS</t>
        </is>
      </c>
      <c r="FLP71" s="534" t="inlineStr">
        <is>
          <t>RIMAC SEGUROS</t>
        </is>
      </c>
      <c r="FLQ71" s="447" t="n"/>
      <c r="FLR71" s="529" t="n">
        <v>1086478942</v>
      </c>
      <c r="FLS71" s="518" t="n"/>
      <c r="FLT71" s="519" t="n"/>
      <c r="FLU71" s="519" t="n">
        <v>45341</v>
      </c>
      <c r="FLX71" s="137" t="n">
        <v>218.95</v>
      </c>
      <c r="FLY71" s="30" t="n"/>
      <c r="FLZ71" s="451" t="n"/>
      <c r="FMA71" s="34" t="n"/>
      <c r="FMB71" s="30" t="n"/>
      <c r="FMC71" s="138">
        <f>+FLY71-FMA71-FMC71</f>
        <v/>
      </c>
      <c r="FMD71" s="533" t="n"/>
      <c r="FME71" s="515" t="inlineStr">
        <is>
          <t>SEGUROS</t>
        </is>
      </c>
      <c r="FMF71" s="534" t="inlineStr">
        <is>
          <t>RIMAC SEGUROS</t>
        </is>
      </c>
      <c r="FMG71" s="447" t="n"/>
      <c r="FMH71" s="529" t="n">
        <v>1086478942</v>
      </c>
      <c r="FMI71" s="518" t="n"/>
      <c r="FMJ71" s="519" t="n"/>
      <c r="FMK71" s="519" t="n">
        <v>45341</v>
      </c>
      <c r="FMN71" s="137" t="n">
        <v>218.95</v>
      </c>
      <c r="FMO71" s="30" t="n"/>
      <c r="FMP71" s="451" t="n"/>
      <c r="FMQ71" s="34" t="n"/>
      <c r="FMR71" s="30" t="n"/>
      <c r="FMS71" s="138">
        <f>+FMO71-FMQ71-FMS71</f>
        <v/>
      </c>
      <c r="FMT71" s="533" t="n"/>
      <c r="FMU71" s="515" t="inlineStr">
        <is>
          <t>SEGUROS</t>
        </is>
      </c>
      <c r="FMV71" s="534" t="inlineStr">
        <is>
          <t>RIMAC SEGUROS</t>
        </is>
      </c>
      <c r="FMW71" s="447" t="n"/>
      <c r="FMX71" s="529" t="n">
        <v>1086478942</v>
      </c>
      <c r="FMY71" s="518" t="n"/>
      <c r="FMZ71" s="519" t="n"/>
      <c r="FNA71" s="519" t="n">
        <v>45341</v>
      </c>
      <c r="FND71" s="137" t="n">
        <v>218.95</v>
      </c>
      <c r="FNE71" s="30" t="n"/>
      <c r="FNF71" s="451" t="n"/>
      <c r="FNG71" s="34" t="n"/>
      <c r="FNH71" s="30" t="n"/>
      <c r="FNI71" s="138">
        <f>+FNE71-FNG71-FNI71</f>
        <v/>
      </c>
      <c r="FNJ71" s="533" t="n"/>
      <c r="FNK71" s="515" t="inlineStr">
        <is>
          <t>SEGUROS</t>
        </is>
      </c>
      <c r="FNL71" s="534" t="inlineStr">
        <is>
          <t>RIMAC SEGUROS</t>
        </is>
      </c>
      <c r="FNM71" s="447" t="n"/>
      <c r="FNN71" s="529" t="n">
        <v>1086478942</v>
      </c>
      <c r="FNO71" s="518" t="n"/>
      <c r="FNP71" s="519" t="n"/>
      <c r="FNQ71" s="519" t="n">
        <v>45341</v>
      </c>
      <c r="FNT71" s="137" t="n">
        <v>218.95</v>
      </c>
      <c r="FNU71" s="30" t="n"/>
      <c r="FNV71" s="451" t="n"/>
      <c r="FNW71" s="34" t="n"/>
      <c r="FNX71" s="30" t="n"/>
      <c r="FNY71" s="138">
        <f>+FNU71-FNW71-FNY71</f>
        <v/>
      </c>
      <c r="FNZ71" s="533" t="n"/>
      <c r="FOA71" s="515" t="inlineStr">
        <is>
          <t>SEGUROS</t>
        </is>
      </c>
      <c r="FOB71" s="534" t="inlineStr">
        <is>
          <t>RIMAC SEGUROS</t>
        </is>
      </c>
      <c r="FOC71" s="447" t="n"/>
      <c r="FOD71" s="529" t="n">
        <v>1086478942</v>
      </c>
      <c r="FOE71" s="518" t="n"/>
      <c r="FOF71" s="519" t="n"/>
      <c r="FOG71" s="519" t="n">
        <v>45341</v>
      </c>
      <c r="FOJ71" s="137" t="n">
        <v>218.95</v>
      </c>
      <c r="FOK71" s="30" t="n"/>
      <c r="FOL71" s="451" t="n"/>
      <c r="FOM71" s="34" t="n"/>
      <c r="FON71" s="30" t="n"/>
      <c r="FOO71" s="138">
        <f>+FOK71-FOM71-FOO71</f>
        <v/>
      </c>
      <c r="FOP71" s="533" t="n"/>
      <c r="FOQ71" s="515" t="inlineStr">
        <is>
          <t>SEGUROS</t>
        </is>
      </c>
      <c r="FOR71" s="534" t="inlineStr">
        <is>
          <t>RIMAC SEGUROS</t>
        </is>
      </c>
      <c r="FOS71" s="447" t="n"/>
      <c r="FOT71" s="529" t="n">
        <v>1086478942</v>
      </c>
      <c r="FOU71" s="518" t="n"/>
      <c r="FOV71" s="519" t="n"/>
      <c r="FOW71" s="519" t="n">
        <v>45341</v>
      </c>
      <c r="FOZ71" s="137" t="n">
        <v>218.95</v>
      </c>
      <c r="FPA71" s="30" t="n"/>
      <c r="FPB71" s="451" t="n"/>
      <c r="FPC71" s="34" t="n"/>
      <c r="FPD71" s="30" t="n"/>
      <c r="FPE71" s="138">
        <f>+FPA71-FPC71-FPE71</f>
        <v/>
      </c>
      <c r="FPF71" s="533" t="n"/>
      <c r="FPG71" s="515" t="inlineStr">
        <is>
          <t>SEGUROS</t>
        </is>
      </c>
      <c r="FPH71" s="534" t="inlineStr">
        <is>
          <t>RIMAC SEGUROS</t>
        </is>
      </c>
      <c r="FPI71" s="447" t="n"/>
      <c r="FPJ71" s="529" t="n">
        <v>1086478942</v>
      </c>
      <c r="FPK71" s="518" t="n"/>
      <c r="FPL71" s="519" t="n"/>
      <c r="FPM71" s="519" t="n">
        <v>45341</v>
      </c>
      <c r="FPP71" s="137" t="n">
        <v>218.95</v>
      </c>
      <c r="FPQ71" s="30" t="n"/>
      <c r="FPR71" s="451" t="n"/>
      <c r="FPS71" s="34" t="n"/>
      <c r="FPT71" s="30" t="n"/>
      <c r="FPU71" s="138">
        <f>+FPQ71-FPS71-FPU71</f>
        <v/>
      </c>
      <c r="FPV71" s="533" t="n"/>
      <c r="FPW71" s="515" t="inlineStr">
        <is>
          <t>SEGUROS</t>
        </is>
      </c>
      <c r="FPX71" s="534" t="inlineStr">
        <is>
          <t>RIMAC SEGUROS</t>
        </is>
      </c>
      <c r="FPY71" s="447" t="n"/>
      <c r="FPZ71" s="529" t="n">
        <v>1086478942</v>
      </c>
      <c r="FQA71" s="518" t="n"/>
      <c r="FQB71" s="519" t="n"/>
      <c r="FQC71" s="519" t="n">
        <v>45341</v>
      </c>
      <c r="FQF71" s="137" t="n">
        <v>218.95</v>
      </c>
      <c r="FQG71" s="30" t="n"/>
      <c r="FQH71" s="451" t="n"/>
      <c r="FQI71" s="34" t="n"/>
      <c r="FQJ71" s="30" t="n"/>
      <c r="FQK71" s="138">
        <f>+FQG71-FQI71-FQK71</f>
        <v/>
      </c>
      <c r="FQL71" s="533" t="n"/>
      <c r="FQM71" s="515" t="inlineStr">
        <is>
          <t>SEGUROS</t>
        </is>
      </c>
      <c r="FQN71" s="534" t="inlineStr">
        <is>
          <t>RIMAC SEGUROS</t>
        </is>
      </c>
      <c r="FQO71" s="447" t="n"/>
      <c r="FQP71" s="529" t="n">
        <v>1086478942</v>
      </c>
      <c r="FQQ71" s="518" t="n"/>
      <c r="FQR71" s="519" t="n"/>
      <c r="FQS71" s="519" t="n">
        <v>45341</v>
      </c>
      <c r="FQV71" s="137" t="n">
        <v>218.95</v>
      </c>
      <c r="FQW71" s="30" t="n"/>
      <c r="FQX71" s="451" t="n"/>
      <c r="FQY71" s="34" t="n"/>
      <c r="FQZ71" s="30" t="n"/>
      <c r="FRA71" s="138">
        <f>+FQW71-FQY71-FRA71</f>
        <v/>
      </c>
      <c r="FRB71" s="533" t="n"/>
      <c r="FRC71" s="515" t="inlineStr">
        <is>
          <t>SEGUROS</t>
        </is>
      </c>
      <c r="FRD71" s="534" t="inlineStr">
        <is>
          <t>RIMAC SEGUROS</t>
        </is>
      </c>
      <c r="FRE71" s="447" t="n"/>
      <c r="FRF71" s="529" t="n">
        <v>1086478942</v>
      </c>
      <c r="FRG71" s="518" t="n"/>
      <c r="FRH71" s="519" t="n"/>
      <c r="FRI71" s="519" t="n">
        <v>45341</v>
      </c>
      <c r="FRL71" s="137" t="n">
        <v>218.95</v>
      </c>
      <c r="FRM71" s="30" t="n"/>
      <c r="FRN71" s="451" t="n"/>
      <c r="FRO71" s="34" t="n"/>
      <c r="FRP71" s="30" t="n"/>
      <c r="FRQ71" s="138">
        <f>+FRM71-FRO71-FRQ71</f>
        <v/>
      </c>
      <c r="FRR71" s="533" t="n"/>
      <c r="FRS71" s="515" t="inlineStr">
        <is>
          <t>SEGUROS</t>
        </is>
      </c>
      <c r="FRT71" s="534" t="inlineStr">
        <is>
          <t>RIMAC SEGUROS</t>
        </is>
      </c>
      <c r="FRU71" s="447" t="n"/>
      <c r="FRV71" s="529" t="n">
        <v>1086478942</v>
      </c>
      <c r="FRW71" s="518" t="n"/>
      <c r="FRX71" s="519" t="n"/>
      <c r="FRY71" s="519" t="n">
        <v>45341</v>
      </c>
      <c r="FSB71" s="137" t="n">
        <v>218.95</v>
      </c>
      <c r="FSC71" s="30" t="n"/>
      <c r="FSD71" s="451" t="n"/>
      <c r="FSE71" s="34" t="n"/>
      <c r="FSF71" s="30" t="n"/>
      <c r="FSG71" s="138">
        <f>+FSC71-FSE71-FSG71</f>
        <v/>
      </c>
      <c r="FSH71" s="533" t="n"/>
      <c r="FSI71" s="515" t="inlineStr">
        <is>
          <t>SEGUROS</t>
        </is>
      </c>
      <c r="FSJ71" s="534" t="inlineStr">
        <is>
          <t>RIMAC SEGUROS</t>
        </is>
      </c>
      <c r="FSK71" s="447" t="n"/>
      <c r="FSL71" s="529" t="n">
        <v>1086478942</v>
      </c>
      <c r="FSM71" s="518" t="n"/>
      <c r="FSN71" s="519" t="n"/>
      <c r="FSO71" s="519" t="n">
        <v>45341</v>
      </c>
      <c r="FSR71" s="137" t="n">
        <v>218.95</v>
      </c>
      <c r="FSS71" s="30" t="n"/>
      <c r="FST71" s="451" t="n"/>
      <c r="FSU71" s="34" t="n"/>
      <c r="FSV71" s="30" t="n"/>
      <c r="FSW71" s="138">
        <f>+FSS71-FSU71-FSW71</f>
        <v/>
      </c>
      <c r="FSX71" s="533" t="n"/>
      <c r="FSY71" s="515" t="inlineStr">
        <is>
          <t>SEGUROS</t>
        </is>
      </c>
      <c r="FSZ71" s="534" t="inlineStr">
        <is>
          <t>RIMAC SEGUROS</t>
        </is>
      </c>
      <c r="FTA71" s="447" t="n"/>
      <c r="FTB71" s="529" t="n">
        <v>1086478942</v>
      </c>
      <c r="FTC71" s="518" t="n"/>
      <c r="FTD71" s="519" t="n"/>
      <c r="FTE71" s="519" t="n">
        <v>45341</v>
      </c>
      <c r="FTH71" s="137" t="n">
        <v>218.95</v>
      </c>
      <c r="FTI71" s="30" t="n"/>
      <c r="FTJ71" s="451" t="n"/>
      <c r="FTK71" s="34" t="n"/>
      <c r="FTL71" s="30" t="n"/>
      <c r="FTM71" s="138">
        <f>+FTI71-FTK71-FTM71</f>
        <v/>
      </c>
      <c r="FTN71" s="533" t="n"/>
      <c r="FTO71" s="515" t="inlineStr">
        <is>
          <t>SEGUROS</t>
        </is>
      </c>
      <c r="FTP71" s="534" t="inlineStr">
        <is>
          <t>RIMAC SEGUROS</t>
        </is>
      </c>
      <c r="FTQ71" s="447" t="n"/>
      <c r="FTR71" s="529" t="n">
        <v>1086478942</v>
      </c>
      <c r="FTS71" s="518" t="n"/>
      <c r="FTT71" s="519" t="n"/>
      <c r="FTU71" s="519" t="n">
        <v>45341</v>
      </c>
      <c r="FTX71" s="137" t="n">
        <v>218.95</v>
      </c>
      <c r="FTY71" s="30" t="n"/>
      <c r="FTZ71" s="451" t="n"/>
      <c r="FUA71" s="34" t="n"/>
      <c r="FUB71" s="30" t="n"/>
      <c r="FUC71" s="138">
        <f>+FTY71-FUA71-FUC71</f>
        <v/>
      </c>
      <c r="FUD71" s="533" t="n"/>
      <c r="FUE71" s="515" t="inlineStr">
        <is>
          <t>SEGUROS</t>
        </is>
      </c>
      <c r="FUF71" s="534" t="inlineStr">
        <is>
          <t>RIMAC SEGUROS</t>
        </is>
      </c>
      <c r="FUG71" s="447" t="n"/>
      <c r="FUH71" s="529" t="n">
        <v>1086478942</v>
      </c>
      <c r="FUI71" s="518" t="n"/>
      <c r="FUJ71" s="519" t="n"/>
      <c r="FUK71" s="519" t="n">
        <v>45341</v>
      </c>
      <c r="FUN71" s="137" t="n">
        <v>218.95</v>
      </c>
      <c r="FUO71" s="30" t="n"/>
      <c r="FUP71" s="451" t="n"/>
      <c r="FUQ71" s="34" t="n"/>
      <c r="FUR71" s="30" t="n"/>
      <c r="FUS71" s="138">
        <f>+FUO71-FUQ71-FUS71</f>
        <v/>
      </c>
      <c r="FUT71" s="533" t="n"/>
      <c r="FUU71" s="515" t="inlineStr">
        <is>
          <t>SEGUROS</t>
        </is>
      </c>
      <c r="FUV71" s="534" t="inlineStr">
        <is>
          <t>RIMAC SEGUROS</t>
        </is>
      </c>
      <c r="FUW71" s="447" t="n"/>
      <c r="FUX71" s="529" t="n">
        <v>1086478942</v>
      </c>
      <c r="FUY71" s="518" t="n"/>
      <c r="FUZ71" s="519" t="n"/>
      <c r="FVA71" s="519" t="n">
        <v>45341</v>
      </c>
      <c r="FVD71" s="137" t="n">
        <v>218.95</v>
      </c>
      <c r="FVE71" s="30" t="n"/>
      <c r="FVF71" s="451" t="n"/>
      <c r="FVG71" s="34" t="n"/>
      <c r="FVH71" s="30" t="n"/>
      <c r="FVI71" s="138">
        <f>+FVE71-FVG71-FVI71</f>
        <v/>
      </c>
      <c r="FVJ71" s="533" t="n"/>
      <c r="FVK71" s="515" t="inlineStr">
        <is>
          <t>SEGUROS</t>
        </is>
      </c>
      <c r="FVL71" s="534" t="inlineStr">
        <is>
          <t>RIMAC SEGUROS</t>
        </is>
      </c>
      <c r="FVM71" s="447" t="n"/>
      <c r="FVN71" s="529" t="n">
        <v>1086478942</v>
      </c>
      <c r="FVO71" s="518" t="n"/>
      <c r="FVP71" s="519" t="n"/>
      <c r="FVQ71" s="519" t="n">
        <v>45341</v>
      </c>
      <c r="FVT71" s="137" t="n">
        <v>218.95</v>
      </c>
      <c r="FVU71" s="30" t="n"/>
      <c r="FVV71" s="451" t="n"/>
      <c r="FVW71" s="34" t="n"/>
      <c r="FVX71" s="30" t="n"/>
      <c r="FVY71" s="138">
        <f>+FVU71-FVW71-FVY71</f>
        <v/>
      </c>
      <c r="FVZ71" s="533" t="n"/>
      <c r="FWA71" s="515" t="inlineStr">
        <is>
          <t>SEGUROS</t>
        </is>
      </c>
      <c r="FWB71" s="534" t="inlineStr">
        <is>
          <t>RIMAC SEGUROS</t>
        </is>
      </c>
      <c r="FWC71" s="447" t="n"/>
      <c r="FWD71" s="529" t="n">
        <v>1086478942</v>
      </c>
      <c r="FWE71" s="518" t="n"/>
      <c r="FWF71" s="519" t="n"/>
      <c r="FWG71" s="519" t="n">
        <v>45341</v>
      </c>
      <c r="FWJ71" s="137" t="n">
        <v>218.95</v>
      </c>
      <c r="FWK71" s="30" t="n"/>
      <c r="FWL71" s="451" t="n"/>
      <c r="FWM71" s="34" t="n"/>
      <c r="FWN71" s="30" t="n"/>
      <c r="FWO71" s="138">
        <f>+FWK71-FWM71-FWO71</f>
        <v/>
      </c>
      <c r="FWP71" s="533" t="n"/>
      <c r="FWQ71" s="515" t="inlineStr">
        <is>
          <t>SEGUROS</t>
        </is>
      </c>
      <c r="FWR71" s="534" t="inlineStr">
        <is>
          <t>RIMAC SEGUROS</t>
        </is>
      </c>
      <c r="FWS71" s="447" t="n"/>
      <c r="FWT71" s="529" t="n">
        <v>1086478942</v>
      </c>
      <c r="FWU71" s="518" t="n"/>
      <c r="FWV71" s="519" t="n"/>
      <c r="FWW71" s="519" t="n">
        <v>45341</v>
      </c>
      <c r="FWZ71" s="137" t="n">
        <v>218.95</v>
      </c>
      <c r="FXA71" s="30" t="n"/>
      <c r="FXB71" s="451" t="n"/>
      <c r="FXC71" s="34" t="n"/>
      <c r="FXD71" s="30" t="n"/>
      <c r="FXE71" s="138">
        <f>+FXA71-FXC71-FXE71</f>
        <v/>
      </c>
      <c r="FXF71" s="533" t="n"/>
      <c r="FXG71" s="515" t="inlineStr">
        <is>
          <t>SEGUROS</t>
        </is>
      </c>
      <c r="FXH71" s="534" t="inlineStr">
        <is>
          <t>RIMAC SEGUROS</t>
        </is>
      </c>
      <c r="FXI71" s="447" t="n"/>
      <c r="FXJ71" s="529" t="n">
        <v>1086478942</v>
      </c>
      <c r="FXK71" s="518" t="n"/>
      <c r="FXL71" s="519" t="n"/>
      <c r="FXM71" s="519" t="n">
        <v>45341</v>
      </c>
      <c r="FXP71" s="137" t="n">
        <v>218.95</v>
      </c>
      <c r="FXQ71" s="30" t="n"/>
      <c r="FXR71" s="451" t="n"/>
      <c r="FXS71" s="34" t="n"/>
      <c r="FXT71" s="30" t="n"/>
      <c r="FXU71" s="138">
        <f>+FXQ71-FXS71-FXU71</f>
        <v/>
      </c>
      <c r="FXV71" s="533" t="n"/>
      <c r="FXW71" s="515" t="inlineStr">
        <is>
          <t>SEGUROS</t>
        </is>
      </c>
      <c r="FXX71" s="534" t="inlineStr">
        <is>
          <t>RIMAC SEGUROS</t>
        </is>
      </c>
      <c r="FXY71" s="447" t="n"/>
      <c r="FXZ71" s="529" t="n">
        <v>1086478942</v>
      </c>
      <c r="FYA71" s="518" t="n"/>
      <c r="FYB71" s="519" t="n"/>
      <c r="FYC71" s="519" t="n">
        <v>45341</v>
      </c>
      <c r="FYF71" s="137" t="n">
        <v>218.95</v>
      </c>
      <c r="FYG71" s="30" t="n"/>
      <c r="FYH71" s="451" t="n"/>
      <c r="FYI71" s="34" t="n"/>
      <c r="FYJ71" s="30" t="n"/>
      <c r="FYK71" s="138">
        <f>+FYG71-FYI71-FYK71</f>
        <v/>
      </c>
      <c r="FYL71" s="533" t="n"/>
      <c r="FYM71" s="515" t="inlineStr">
        <is>
          <t>SEGUROS</t>
        </is>
      </c>
      <c r="FYN71" s="534" t="inlineStr">
        <is>
          <t>RIMAC SEGUROS</t>
        </is>
      </c>
      <c r="FYO71" s="447" t="n"/>
      <c r="FYP71" s="529" t="n">
        <v>1086478942</v>
      </c>
      <c r="FYQ71" s="518" t="n"/>
      <c r="FYR71" s="519" t="n"/>
      <c r="FYS71" s="519" t="n">
        <v>45341</v>
      </c>
      <c r="FYV71" s="137" t="n">
        <v>218.95</v>
      </c>
      <c r="FYW71" s="30" t="n"/>
      <c r="FYX71" s="451" t="n"/>
      <c r="FYY71" s="34" t="n"/>
      <c r="FYZ71" s="30" t="n"/>
      <c r="FZA71" s="138">
        <f>+FYW71-FYY71-FZA71</f>
        <v/>
      </c>
      <c r="FZB71" s="533" t="n"/>
      <c r="FZC71" s="515" t="inlineStr">
        <is>
          <t>SEGUROS</t>
        </is>
      </c>
      <c r="FZD71" s="534" t="inlineStr">
        <is>
          <t>RIMAC SEGUROS</t>
        </is>
      </c>
      <c r="FZE71" s="447" t="n"/>
      <c r="FZF71" s="529" t="n">
        <v>1086478942</v>
      </c>
      <c r="FZG71" s="518" t="n"/>
      <c r="FZH71" s="519" t="n"/>
      <c r="FZI71" s="519" t="n">
        <v>45341</v>
      </c>
      <c r="FZL71" s="137" t="n">
        <v>218.95</v>
      </c>
      <c r="FZM71" s="30" t="n"/>
      <c r="FZN71" s="451" t="n"/>
      <c r="FZO71" s="34" t="n"/>
      <c r="FZP71" s="30" t="n"/>
      <c r="FZQ71" s="138">
        <f>+FZM71-FZO71-FZQ71</f>
        <v/>
      </c>
      <c r="FZR71" s="533" t="n"/>
      <c r="FZS71" s="515" t="inlineStr">
        <is>
          <t>SEGUROS</t>
        </is>
      </c>
      <c r="FZT71" s="534" t="inlineStr">
        <is>
          <t>RIMAC SEGUROS</t>
        </is>
      </c>
      <c r="FZU71" s="447" t="n"/>
      <c r="FZV71" s="529" t="n">
        <v>1086478942</v>
      </c>
      <c r="FZW71" s="518" t="n"/>
      <c r="FZX71" s="519" t="n"/>
      <c r="FZY71" s="519" t="n">
        <v>45341</v>
      </c>
      <c r="GAB71" s="137" t="n">
        <v>218.95</v>
      </c>
      <c r="GAC71" s="30" t="n"/>
      <c r="GAD71" s="451" t="n"/>
      <c r="GAE71" s="34" t="n"/>
      <c r="GAF71" s="30" t="n"/>
      <c r="GAG71" s="138">
        <f>+GAC71-GAE71-GAG71</f>
        <v/>
      </c>
      <c r="GAH71" s="533" t="n"/>
      <c r="GAI71" s="515" t="inlineStr">
        <is>
          <t>SEGUROS</t>
        </is>
      </c>
      <c r="GAJ71" s="534" t="inlineStr">
        <is>
          <t>RIMAC SEGUROS</t>
        </is>
      </c>
      <c r="GAK71" s="447" t="n"/>
      <c r="GAL71" s="529" t="n">
        <v>1086478942</v>
      </c>
      <c r="GAM71" s="518" t="n"/>
      <c r="GAN71" s="519" t="n"/>
      <c r="GAO71" s="519" t="n">
        <v>45341</v>
      </c>
      <c r="GAR71" s="137" t="n">
        <v>218.95</v>
      </c>
      <c r="GAS71" s="30" t="n"/>
      <c r="GAT71" s="451" t="n"/>
      <c r="GAU71" s="34" t="n"/>
      <c r="GAV71" s="30" t="n"/>
      <c r="GAW71" s="138">
        <f>+GAS71-GAU71-GAW71</f>
        <v/>
      </c>
      <c r="GAX71" s="533" t="n"/>
      <c r="GAY71" s="515" t="inlineStr">
        <is>
          <t>SEGUROS</t>
        </is>
      </c>
      <c r="GAZ71" s="534" t="inlineStr">
        <is>
          <t>RIMAC SEGUROS</t>
        </is>
      </c>
      <c r="GBA71" s="447" t="n"/>
      <c r="GBB71" s="529" t="n">
        <v>1086478942</v>
      </c>
      <c r="GBC71" s="518" t="n"/>
      <c r="GBD71" s="519" t="n"/>
      <c r="GBE71" s="519" t="n">
        <v>45341</v>
      </c>
      <c r="GBH71" s="137" t="n">
        <v>218.95</v>
      </c>
      <c r="GBI71" s="30" t="n"/>
      <c r="GBJ71" s="451" t="n"/>
      <c r="GBK71" s="34" t="n"/>
      <c r="GBL71" s="30" t="n"/>
      <c r="GBM71" s="138">
        <f>+GBI71-GBK71-GBM71</f>
        <v/>
      </c>
      <c r="GBN71" s="533" t="n"/>
      <c r="GBO71" s="515" t="inlineStr">
        <is>
          <t>SEGUROS</t>
        </is>
      </c>
      <c r="GBP71" s="534" t="inlineStr">
        <is>
          <t>RIMAC SEGUROS</t>
        </is>
      </c>
      <c r="GBQ71" s="447" t="n"/>
      <c r="GBR71" s="529" t="n">
        <v>1086478942</v>
      </c>
      <c r="GBS71" s="518" t="n"/>
      <c r="GBT71" s="519" t="n"/>
      <c r="GBU71" s="519" t="n">
        <v>45341</v>
      </c>
      <c r="GBX71" s="137" t="n">
        <v>218.95</v>
      </c>
      <c r="GBY71" s="30" t="n"/>
      <c r="GBZ71" s="451" t="n"/>
      <c r="GCA71" s="34" t="n"/>
      <c r="GCB71" s="30" t="n"/>
      <c r="GCC71" s="138">
        <f>+GBY71-GCA71-GCC71</f>
        <v/>
      </c>
      <c r="GCD71" s="533" t="n"/>
      <c r="GCE71" s="515" t="inlineStr">
        <is>
          <t>SEGUROS</t>
        </is>
      </c>
      <c r="GCF71" s="534" t="inlineStr">
        <is>
          <t>RIMAC SEGUROS</t>
        </is>
      </c>
      <c r="GCG71" s="447" t="n"/>
      <c r="GCH71" s="529" t="n">
        <v>1086478942</v>
      </c>
      <c r="GCI71" s="518" t="n"/>
      <c r="GCJ71" s="519" t="n"/>
      <c r="GCK71" s="519" t="n">
        <v>45341</v>
      </c>
      <c r="GCN71" s="137" t="n">
        <v>218.95</v>
      </c>
      <c r="GCO71" s="30" t="n"/>
      <c r="GCP71" s="451" t="n"/>
      <c r="GCQ71" s="34" t="n"/>
      <c r="GCR71" s="30" t="n"/>
      <c r="GCS71" s="138">
        <f>+GCO71-GCQ71-GCS71</f>
        <v/>
      </c>
      <c r="GCT71" s="533" t="n"/>
      <c r="GCU71" s="515" t="inlineStr">
        <is>
          <t>SEGUROS</t>
        </is>
      </c>
      <c r="GCV71" s="534" t="inlineStr">
        <is>
          <t>RIMAC SEGUROS</t>
        </is>
      </c>
      <c r="GCW71" s="447" t="n"/>
      <c r="GCX71" s="529" t="n">
        <v>1086478942</v>
      </c>
      <c r="GCY71" s="518" t="n"/>
      <c r="GCZ71" s="519" t="n"/>
      <c r="GDA71" s="519" t="n">
        <v>45341</v>
      </c>
      <c r="GDD71" s="137" t="n">
        <v>218.95</v>
      </c>
      <c r="GDE71" s="30" t="n"/>
      <c r="GDF71" s="451" t="n"/>
      <c r="GDG71" s="34" t="n"/>
      <c r="GDH71" s="30" t="n"/>
      <c r="GDI71" s="138">
        <f>+GDE71-GDG71-GDI71</f>
        <v/>
      </c>
      <c r="GDJ71" s="533" t="n"/>
      <c r="GDK71" s="515" t="inlineStr">
        <is>
          <t>SEGUROS</t>
        </is>
      </c>
      <c r="GDL71" s="534" t="inlineStr">
        <is>
          <t>RIMAC SEGUROS</t>
        </is>
      </c>
      <c r="GDM71" s="447" t="n"/>
      <c r="GDN71" s="529" t="n">
        <v>1086478942</v>
      </c>
      <c r="GDO71" s="518" t="n"/>
      <c r="GDP71" s="519" t="n"/>
      <c r="GDQ71" s="519" t="n">
        <v>45341</v>
      </c>
      <c r="GDT71" s="137" t="n">
        <v>218.95</v>
      </c>
      <c r="GDU71" s="30" t="n"/>
      <c r="GDV71" s="451" t="n"/>
      <c r="GDW71" s="34" t="n"/>
      <c r="GDX71" s="30" t="n"/>
      <c r="GDY71" s="138">
        <f>+GDU71-GDW71-GDY71</f>
        <v/>
      </c>
      <c r="GDZ71" s="533" t="n"/>
      <c r="GEA71" s="515" t="inlineStr">
        <is>
          <t>SEGUROS</t>
        </is>
      </c>
      <c r="GEB71" s="534" t="inlineStr">
        <is>
          <t>RIMAC SEGUROS</t>
        </is>
      </c>
      <c r="GEC71" s="447" t="n"/>
      <c r="GED71" s="529" t="n">
        <v>1086478942</v>
      </c>
      <c r="GEE71" s="518" t="n"/>
      <c r="GEF71" s="519" t="n"/>
      <c r="GEG71" s="519" t="n">
        <v>45341</v>
      </c>
      <c r="GEJ71" s="137" t="n">
        <v>218.95</v>
      </c>
      <c r="GEK71" s="30" t="n"/>
      <c r="GEL71" s="451" t="n"/>
      <c r="GEM71" s="34" t="n"/>
      <c r="GEN71" s="30" t="n"/>
      <c r="GEO71" s="138">
        <f>+GEK71-GEM71-GEO71</f>
        <v/>
      </c>
      <c r="GEP71" s="533" t="n"/>
      <c r="GEQ71" s="515" t="inlineStr">
        <is>
          <t>SEGUROS</t>
        </is>
      </c>
      <c r="GER71" s="534" t="inlineStr">
        <is>
          <t>RIMAC SEGUROS</t>
        </is>
      </c>
      <c r="GES71" s="447" t="n"/>
      <c r="GET71" s="529" t="n">
        <v>1086478942</v>
      </c>
      <c r="GEU71" s="518" t="n"/>
      <c r="GEV71" s="519" t="n"/>
      <c r="GEW71" s="519" t="n">
        <v>45341</v>
      </c>
      <c r="GEZ71" s="137" t="n">
        <v>218.95</v>
      </c>
      <c r="GFA71" s="30" t="n"/>
      <c r="GFB71" s="451" t="n"/>
      <c r="GFC71" s="34" t="n"/>
      <c r="GFD71" s="30" t="n"/>
      <c r="GFE71" s="138">
        <f>+GFA71-GFC71-GFE71</f>
        <v/>
      </c>
      <c r="GFF71" s="533" t="n"/>
      <c r="GFG71" s="515" t="inlineStr">
        <is>
          <t>SEGUROS</t>
        </is>
      </c>
      <c r="GFH71" s="534" t="inlineStr">
        <is>
          <t>RIMAC SEGUROS</t>
        </is>
      </c>
      <c r="GFI71" s="447" t="n"/>
      <c r="GFJ71" s="529" t="n">
        <v>1086478942</v>
      </c>
      <c r="GFK71" s="518" t="n"/>
      <c r="GFL71" s="519" t="n"/>
      <c r="GFM71" s="519" t="n">
        <v>45341</v>
      </c>
      <c r="GFP71" s="137" t="n">
        <v>218.95</v>
      </c>
      <c r="GFQ71" s="30" t="n"/>
      <c r="GFR71" s="451" t="n"/>
      <c r="GFS71" s="34" t="n"/>
      <c r="GFT71" s="30" t="n"/>
      <c r="GFU71" s="138">
        <f>+GFQ71-GFS71-GFU71</f>
        <v/>
      </c>
      <c r="GFV71" s="533" t="n"/>
      <c r="GFW71" s="515" t="inlineStr">
        <is>
          <t>SEGUROS</t>
        </is>
      </c>
      <c r="GFX71" s="534" t="inlineStr">
        <is>
          <t>RIMAC SEGUROS</t>
        </is>
      </c>
      <c r="GFY71" s="447" t="n"/>
      <c r="GFZ71" s="529" t="n">
        <v>1086478942</v>
      </c>
      <c r="GGA71" s="518" t="n"/>
      <c r="GGB71" s="519" t="n"/>
      <c r="GGC71" s="519" t="n">
        <v>45341</v>
      </c>
      <c r="GGF71" s="137" t="n">
        <v>218.95</v>
      </c>
      <c r="GGG71" s="30" t="n"/>
      <c r="GGH71" s="451" t="n"/>
      <c r="GGI71" s="34" t="n"/>
      <c r="GGJ71" s="30" t="n"/>
      <c r="GGK71" s="138">
        <f>+GGG71-GGI71-GGK71</f>
        <v/>
      </c>
      <c r="GGL71" s="533" t="n"/>
      <c r="GGM71" s="515" t="inlineStr">
        <is>
          <t>SEGUROS</t>
        </is>
      </c>
      <c r="GGN71" s="534" t="inlineStr">
        <is>
          <t>RIMAC SEGUROS</t>
        </is>
      </c>
      <c r="GGO71" s="447" t="n"/>
      <c r="GGP71" s="529" t="n">
        <v>1086478942</v>
      </c>
      <c r="GGQ71" s="518" t="n"/>
      <c r="GGR71" s="519" t="n"/>
      <c r="GGS71" s="519" t="n">
        <v>45341</v>
      </c>
      <c r="GGV71" s="137" t="n">
        <v>218.95</v>
      </c>
      <c r="GGW71" s="30" t="n"/>
      <c r="GGX71" s="451" t="n"/>
      <c r="GGY71" s="34" t="n"/>
      <c r="GGZ71" s="30" t="n"/>
      <c r="GHA71" s="138">
        <f>+GGW71-GGY71-GHA71</f>
        <v/>
      </c>
      <c r="GHB71" s="533" t="n"/>
      <c r="GHC71" s="515" t="inlineStr">
        <is>
          <t>SEGUROS</t>
        </is>
      </c>
      <c r="GHD71" s="534" t="inlineStr">
        <is>
          <t>RIMAC SEGUROS</t>
        </is>
      </c>
      <c r="GHE71" s="447" t="n"/>
      <c r="GHF71" s="529" t="n">
        <v>1086478942</v>
      </c>
      <c r="GHG71" s="518" t="n"/>
      <c r="GHH71" s="519" t="n"/>
      <c r="GHI71" s="519" t="n">
        <v>45341</v>
      </c>
      <c r="GHL71" s="137" t="n">
        <v>218.95</v>
      </c>
      <c r="GHM71" s="30" t="n"/>
      <c r="GHN71" s="451" t="n"/>
      <c r="GHO71" s="34" t="n"/>
      <c r="GHP71" s="30" t="n"/>
      <c r="GHQ71" s="138">
        <f>+GHM71-GHO71-GHQ71</f>
        <v/>
      </c>
      <c r="GHR71" s="533" t="n"/>
      <c r="GHS71" s="515" t="inlineStr">
        <is>
          <t>SEGUROS</t>
        </is>
      </c>
      <c r="GHT71" s="534" t="inlineStr">
        <is>
          <t>RIMAC SEGUROS</t>
        </is>
      </c>
      <c r="GHU71" s="447" t="n"/>
      <c r="GHV71" s="529" t="n">
        <v>1086478942</v>
      </c>
      <c r="GHW71" s="518" t="n"/>
      <c r="GHX71" s="519" t="n"/>
      <c r="GHY71" s="519" t="n">
        <v>45341</v>
      </c>
      <c r="GIB71" s="137" t="n">
        <v>218.95</v>
      </c>
      <c r="GIC71" s="30" t="n"/>
      <c r="GID71" s="451" t="n"/>
      <c r="GIE71" s="34" t="n"/>
      <c r="GIF71" s="30" t="n"/>
      <c r="GIG71" s="138">
        <f>+GIC71-GIE71-GIG71</f>
        <v/>
      </c>
      <c r="GIH71" s="533" t="n"/>
      <c r="GII71" s="515" t="inlineStr">
        <is>
          <t>SEGUROS</t>
        </is>
      </c>
      <c r="GIJ71" s="534" t="inlineStr">
        <is>
          <t>RIMAC SEGUROS</t>
        </is>
      </c>
      <c r="GIK71" s="447" t="n"/>
      <c r="GIL71" s="529" t="n">
        <v>1086478942</v>
      </c>
      <c r="GIM71" s="518" t="n"/>
      <c r="GIN71" s="519" t="n"/>
      <c r="GIO71" s="519" t="n">
        <v>45341</v>
      </c>
      <c r="GIR71" s="137" t="n">
        <v>218.95</v>
      </c>
      <c r="GIS71" s="30" t="n"/>
      <c r="GIT71" s="451" t="n"/>
      <c r="GIU71" s="34" t="n"/>
      <c r="GIV71" s="30" t="n"/>
      <c r="GIW71" s="138">
        <f>+GIS71-GIU71-GIW71</f>
        <v/>
      </c>
      <c r="GIX71" s="533" t="n"/>
      <c r="GIY71" s="515" t="inlineStr">
        <is>
          <t>SEGUROS</t>
        </is>
      </c>
      <c r="GIZ71" s="534" t="inlineStr">
        <is>
          <t>RIMAC SEGUROS</t>
        </is>
      </c>
      <c r="GJA71" s="447" t="n"/>
      <c r="GJB71" s="529" t="n">
        <v>1086478942</v>
      </c>
      <c r="GJC71" s="518" t="n"/>
      <c r="GJD71" s="519" t="n"/>
      <c r="GJE71" s="519" t="n">
        <v>45341</v>
      </c>
      <c r="GJH71" s="137" t="n">
        <v>218.95</v>
      </c>
      <c r="GJI71" s="30" t="n"/>
      <c r="GJJ71" s="451" t="n"/>
      <c r="GJK71" s="34" t="n"/>
      <c r="GJL71" s="30" t="n"/>
      <c r="GJM71" s="138">
        <f>+GJI71-GJK71-GJM71</f>
        <v/>
      </c>
      <c r="GJN71" s="533" t="n"/>
      <c r="GJO71" s="515" t="inlineStr">
        <is>
          <t>SEGUROS</t>
        </is>
      </c>
      <c r="GJP71" s="534" t="inlineStr">
        <is>
          <t>RIMAC SEGUROS</t>
        </is>
      </c>
      <c r="GJQ71" s="447" t="n"/>
      <c r="GJR71" s="529" t="n">
        <v>1086478942</v>
      </c>
      <c r="GJS71" s="518" t="n"/>
      <c r="GJT71" s="519" t="n"/>
      <c r="GJU71" s="519" t="n">
        <v>45341</v>
      </c>
      <c r="GJX71" s="137" t="n">
        <v>218.95</v>
      </c>
      <c r="GJY71" s="30" t="n"/>
      <c r="GJZ71" s="451" t="n"/>
      <c r="GKA71" s="34" t="n"/>
      <c r="GKB71" s="30" t="n"/>
      <c r="GKC71" s="138">
        <f>+GJY71-GKA71-GKC71</f>
        <v/>
      </c>
      <c r="GKD71" s="533" t="n"/>
      <c r="GKE71" s="515" t="inlineStr">
        <is>
          <t>SEGUROS</t>
        </is>
      </c>
      <c r="GKF71" s="534" t="inlineStr">
        <is>
          <t>RIMAC SEGUROS</t>
        </is>
      </c>
      <c r="GKG71" s="447" t="n"/>
      <c r="GKH71" s="529" t="n">
        <v>1086478942</v>
      </c>
      <c r="GKI71" s="518" t="n"/>
      <c r="GKJ71" s="519" t="n"/>
      <c r="GKK71" s="519" t="n">
        <v>45341</v>
      </c>
      <c r="GKN71" s="137" t="n">
        <v>218.95</v>
      </c>
      <c r="GKO71" s="30" t="n"/>
      <c r="GKP71" s="451" t="n"/>
      <c r="GKQ71" s="34" t="n"/>
      <c r="GKR71" s="30" t="n"/>
      <c r="GKS71" s="138">
        <f>+GKO71-GKQ71-GKS71</f>
        <v/>
      </c>
      <c r="GKT71" s="533" t="n"/>
      <c r="GKU71" s="515" t="inlineStr">
        <is>
          <t>SEGUROS</t>
        </is>
      </c>
      <c r="GKV71" s="534" t="inlineStr">
        <is>
          <t>RIMAC SEGUROS</t>
        </is>
      </c>
      <c r="GKW71" s="447" t="n"/>
      <c r="GKX71" s="529" t="n">
        <v>1086478942</v>
      </c>
      <c r="GKY71" s="518" t="n"/>
      <c r="GKZ71" s="519" t="n"/>
      <c r="GLA71" s="519" t="n">
        <v>45341</v>
      </c>
      <c r="GLD71" s="137" t="n">
        <v>218.95</v>
      </c>
      <c r="GLE71" s="30" t="n"/>
      <c r="GLF71" s="451" t="n"/>
      <c r="GLG71" s="34" t="n"/>
      <c r="GLH71" s="30" t="n"/>
      <c r="GLI71" s="138">
        <f>+GLE71-GLG71-GLI71</f>
        <v/>
      </c>
      <c r="GLJ71" s="533" t="n"/>
      <c r="GLK71" s="515" t="inlineStr">
        <is>
          <t>SEGUROS</t>
        </is>
      </c>
      <c r="GLL71" s="534" t="inlineStr">
        <is>
          <t>RIMAC SEGUROS</t>
        </is>
      </c>
      <c r="GLM71" s="447" t="n"/>
      <c r="GLN71" s="529" t="n">
        <v>1086478942</v>
      </c>
      <c r="GLO71" s="518" t="n"/>
      <c r="GLP71" s="519" t="n"/>
      <c r="GLQ71" s="519" t="n">
        <v>45341</v>
      </c>
      <c r="GLT71" s="137" t="n">
        <v>218.95</v>
      </c>
      <c r="GLU71" s="30" t="n"/>
      <c r="GLV71" s="451" t="n"/>
      <c r="GLW71" s="34" t="n"/>
      <c r="GLX71" s="30" t="n"/>
      <c r="GLY71" s="138">
        <f>+GLU71-GLW71-GLY71</f>
        <v/>
      </c>
      <c r="GLZ71" s="533" t="n"/>
      <c r="GMA71" s="515" t="inlineStr">
        <is>
          <t>SEGUROS</t>
        </is>
      </c>
      <c r="GMB71" s="534" t="inlineStr">
        <is>
          <t>RIMAC SEGUROS</t>
        </is>
      </c>
      <c r="GMC71" s="447" t="n"/>
      <c r="GMD71" s="529" t="n">
        <v>1086478942</v>
      </c>
      <c r="GME71" s="518" t="n"/>
      <c r="GMF71" s="519" t="n"/>
      <c r="GMG71" s="519" t="n">
        <v>45341</v>
      </c>
      <c r="GMJ71" s="137" t="n">
        <v>218.95</v>
      </c>
      <c r="GMK71" s="30" t="n"/>
      <c r="GML71" s="451" t="n"/>
      <c r="GMM71" s="34" t="n"/>
      <c r="GMN71" s="30" t="n"/>
      <c r="GMO71" s="138">
        <f>+GMK71-GMM71-GMO71</f>
        <v/>
      </c>
      <c r="GMP71" s="533" t="n"/>
      <c r="GMQ71" s="515" t="inlineStr">
        <is>
          <t>SEGUROS</t>
        </is>
      </c>
      <c r="GMR71" s="534" t="inlineStr">
        <is>
          <t>RIMAC SEGUROS</t>
        </is>
      </c>
      <c r="GMS71" s="447" t="n"/>
      <c r="GMT71" s="529" t="n">
        <v>1086478942</v>
      </c>
      <c r="GMU71" s="518" t="n"/>
      <c r="GMV71" s="519" t="n"/>
      <c r="GMW71" s="519" t="n">
        <v>45341</v>
      </c>
      <c r="GMZ71" s="137" t="n">
        <v>218.95</v>
      </c>
      <c r="GNA71" s="30" t="n"/>
      <c r="GNB71" s="451" t="n"/>
      <c r="GNC71" s="34" t="n"/>
      <c r="GND71" s="30" t="n"/>
      <c r="GNE71" s="138">
        <f>+GNA71-GNC71-GNE71</f>
        <v/>
      </c>
      <c r="GNF71" s="533" t="n"/>
      <c r="GNG71" s="515" t="inlineStr">
        <is>
          <t>SEGUROS</t>
        </is>
      </c>
      <c r="GNH71" s="534" t="inlineStr">
        <is>
          <t>RIMAC SEGUROS</t>
        </is>
      </c>
      <c r="GNI71" s="447" t="n"/>
      <c r="GNJ71" s="529" t="n">
        <v>1086478942</v>
      </c>
      <c r="GNK71" s="518" t="n"/>
      <c r="GNL71" s="519" t="n"/>
      <c r="GNM71" s="519" t="n">
        <v>45341</v>
      </c>
      <c r="GNP71" s="137" t="n">
        <v>218.95</v>
      </c>
      <c r="GNQ71" s="30" t="n"/>
      <c r="GNR71" s="451" t="n"/>
      <c r="GNS71" s="34" t="n"/>
      <c r="GNT71" s="30" t="n"/>
      <c r="GNU71" s="138">
        <f>+GNQ71-GNS71-GNU71</f>
        <v/>
      </c>
      <c r="GNV71" s="533" t="n"/>
      <c r="GNW71" s="515" t="inlineStr">
        <is>
          <t>SEGUROS</t>
        </is>
      </c>
      <c r="GNX71" s="534" t="inlineStr">
        <is>
          <t>RIMAC SEGUROS</t>
        </is>
      </c>
      <c r="GNY71" s="447" t="n"/>
      <c r="GNZ71" s="529" t="n">
        <v>1086478942</v>
      </c>
      <c r="GOA71" s="518" t="n"/>
      <c r="GOB71" s="519" t="n"/>
      <c r="GOC71" s="519" t="n">
        <v>45341</v>
      </c>
      <c r="GOF71" s="137" t="n">
        <v>218.95</v>
      </c>
      <c r="GOG71" s="30" t="n"/>
      <c r="GOH71" s="451" t="n"/>
      <c r="GOI71" s="34" t="n"/>
      <c r="GOJ71" s="30" t="n"/>
      <c r="GOK71" s="138">
        <f>+GOG71-GOI71-GOK71</f>
        <v/>
      </c>
      <c r="GOL71" s="533" t="n"/>
      <c r="GOM71" s="515" t="inlineStr">
        <is>
          <t>SEGUROS</t>
        </is>
      </c>
      <c r="GON71" s="534" t="inlineStr">
        <is>
          <t>RIMAC SEGUROS</t>
        </is>
      </c>
      <c r="GOO71" s="447" t="n"/>
      <c r="GOP71" s="529" t="n">
        <v>1086478942</v>
      </c>
      <c r="GOQ71" s="518" t="n"/>
      <c r="GOR71" s="519" t="n"/>
      <c r="GOS71" s="519" t="n">
        <v>45341</v>
      </c>
      <c r="GOV71" s="137" t="n">
        <v>218.95</v>
      </c>
      <c r="GOW71" s="30" t="n"/>
      <c r="GOX71" s="451" t="n"/>
      <c r="GOY71" s="34" t="n"/>
      <c r="GOZ71" s="30" t="n"/>
      <c r="GPA71" s="138">
        <f>+GOW71-GOY71-GPA71</f>
        <v/>
      </c>
      <c r="GPB71" s="533" t="n"/>
      <c r="GPC71" s="515" t="inlineStr">
        <is>
          <t>SEGUROS</t>
        </is>
      </c>
      <c r="GPD71" s="534" t="inlineStr">
        <is>
          <t>RIMAC SEGUROS</t>
        </is>
      </c>
      <c r="GPE71" s="447" t="n"/>
      <c r="GPF71" s="529" t="n">
        <v>1086478942</v>
      </c>
      <c r="GPG71" s="518" t="n"/>
      <c r="GPH71" s="519" t="n"/>
      <c r="GPI71" s="519" t="n">
        <v>45341</v>
      </c>
      <c r="GPL71" s="137" t="n">
        <v>218.95</v>
      </c>
      <c r="GPM71" s="30" t="n"/>
      <c r="GPN71" s="451" t="n"/>
      <c r="GPO71" s="34" t="n"/>
      <c r="GPP71" s="30" t="n"/>
      <c r="GPQ71" s="138">
        <f>+GPM71-GPO71-GPQ71</f>
        <v/>
      </c>
      <c r="GPR71" s="533" t="n"/>
      <c r="GPS71" s="515" t="inlineStr">
        <is>
          <t>SEGUROS</t>
        </is>
      </c>
      <c r="GPT71" s="534" t="inlineStr">
        <is>
          <t>RIMAC SEGUROS</t>
        </is>
      </c>
      <c r="GPU71" s="447" t="n"/>
      <c r="GPV71" s="529" t="n">
        <v>1086478942</v>
      </c>
      <c r="GPW71" s="518" t="n"/>
      <c r="GPX71" s="519" t="n"/>
      <c r="GPY71" s="519" t="n">
        <v>45341</v>
      </c>
      <c r="GQB71" s="137" t="n">
        <v>218.95</v>
      </c>
      <c r="GQC71" s="30" t="n"/>
      <c r="GQD71" s="451" t="n"/>
      <c r="GQE71" s="34" t="n"/>
      <c r="GQF71" s="30" t="n"/>
      <c r="GQG71" s="138">
        <f>+GQC71-GQE71-GQG71</f>
        <v/>
      </c>
      <c r="GQH71" s="533" t="n"/>
      <c r="GQI71" s="515" t="inlineStr">
        <is>
          <t>SEGUROS</t>
        </is>
      </c>
      <c r="GQJ71" s="534" t="inlineStr">
        <is>
          <t>RIMAC SEGUROS</t>
        </is>
      </c>
      <c r="GQK71" s="447" t="n"/>
      <c r="GQL71" s="529" t="n">
        <v>1086478942</v>
      </c>
      <c r="GQM71" s="518" t="n"/>
      <c r="GQN71" s="519" t="n"/>
      <c r="GQO71" s="519" t="n">
        <v>45341</v>
      </c>
      <c r="GQR71" s="137" t="n">
        <v>218.95</v>
      </c>
      <c r="GQS71" s="30" t="n"/>
      <c r="GQT71" s="451" t="n"/>
      <c r="GQU71" s="34" t="n"/>
      <c r="GQV71" s="30" t="n"/>
      <c r="GQW71" s="138">
        <f>+GQS71-GQU71-GQW71</f>
        <v/>
      </c>
      <c r="GQX71" s="533" t="n"/>
      <c r="GQY71" s="515" t="inlineStr">
        <is>
          <t>SEGUROS</t>
        </is>
      </c>
      <c r="GQZ71" s="534" t="inlineStr">
        <is>
          <t>RIMAC SEGUROS</t>
        </is>
      </c>
      <c r="GRA71" s="447" t="n"/>
      <c r="GRB71" s="529" t="n">
        <v>1086478942</v>
      </c>
      <c r="GRC71" s="518" t="n"/>
      <c r="GRD71" s="519" t="n"/>
      <c r="GRE71" s="519" t="n">
        <v>45341</v>
      </c>
      <c r="GRH71" s="137" t="n">
        <v>218.95</v>
      </c>
      <c r="GRI71" s="30" t="n"/>
      <c r="GRJ71" s="451" t="n"/>
      <c r="GRK71" s="34" t="n"/>
      <c r="GRL71" s="30" t="n"/>
      <c r="GRM71" s="138">
        <f>+GRI71-GRK71-GRM71</f>
        <v/>
      </c>
      <c r="GRN71" s="533" t="n"/>
      <c r="GRO71" s="515" t="inlineStr">
        <is>
          <t>SEGUROS</t>
        </is>
      </c>
      <c r="GRP71" s="534" t="inlineStr">
        <is>
          <t>RIMAC SEGUROS</t>
        </is>
      </c>
      <c r="GRQ71" s="447" t="n"/>
      <c r="GRR71" s="529" t="n">
        <v>1086478942</v>
      </c>
      <c r="GRS71" s="518" t="n"/>
      <c r="GRT71" s="519" t="n"/>
      <c r="GRU71" s="519" t="n">
        <v>45341</v>
      </c>
      <c r="GRX71" s="137" t="n">
        <v>218.95</v>
      </c>
      <c r="GRY71" s="30" t="n"/>
      <c r="GRZ71" s="451" t="n"/>
      <c r="GSA71" s="34" t="n"/>
      <c r="GSB71" s="30" t="n"/>
      <c r="GSC71" s="138">
        <f>+GRY71-GSA71-GSC71</f>
        <v/>
      </c>
      <c r="GSD71" s="533" t="n"/>
      <c r="GSE71" s="515" t="inlineStr">
        <is>
          <t>SEGUROS</t>
        </is>
      </c>
      <c r="GSF71" s="534" t="inlineStr">
        <is>
          <t>RIMAC SEGUROS</t>
        </is>
      </c>
      <c r="GSG71" s="447" t="n"/>
      <c r="GSH71" s="529" t="n">
        <v>1086478942</v>
      </c>
      <c r="GSI71" s="518" t="n"/>
      <c r="GSJ71" s="519" t="n"/>
      <c r="GSK71" s="519" t="n">
        <v>45341</v>
      </c>
      <c r="GSN71" s="137" t="n">
        <v>218.95</v>
      </c>
      <c r="GSO71" s="30" t="n"/>
      <c r="GSP71" s="451" t="n"/>
      <c r="GSQ71" s="34" t="n"/>
      <c r="GSR71" s="30" t="n"/>
      <c r="GSS71" s="138">
        <f>+GSO71-GSQ71-GSS71</f>
        <v/>
      </c>
      <c r="GST71" s="533" t="n"/>
      <c r="GSU71" s="515" t="inlineStr">
        <is>
          <t>SEGUROS</t>
        </is>
      </c>
      <c r="GSV71" s="534" t="inlineStr">
        <is>
          <t>RIMAC SEGUROS</t>
        </is>
      </c>
      <c r="GSW71" s="447" t="n"/>
      <c r="GSX71" s="529" t="n">
        <v>1086478942</v>
      </c>
      <c r="GSY71" s="518" t="n"/>
      <c r="GSZ71" s="519" t="n"/>
      <c r="GTA71" s="519" t="n">
        <v>45341</v>
      </c>
      <c r="GTD71" s="137" t="n">
        <v>218.95</v>
      </c>
      <c r="GTE71" s="30" t="n"/>
      <c r="GTF71" s="451" t="n"/>
      <c r="GTG71" s="34" t="n"/>
      <c r="GTH71" s="30" t="n"/>
      <c r="GTI71" s="138">
        <f>+GTE71-GTG71-GTI71</f>
        <v/>
      </c>
      <c r="GTJ71" s="533" t="n"/>
      <c r="GTK71" s="515" t="inlineStr">
        <is>
          <t>SEGUROS</t>
        </is>
      </c>
      <c r="GTL71" s="534" t="inlineStr">
        <is>
          <t>RIMAC SEGUROS</t>
        </is>
      </c>
      <c r="GTM71" s="447" t="n"/>
      <c r="GTN71" s="529" t="n">
        <v>1086478942</v>
      </c>
      <c r="GTO71" s="518" t="n"/>
      <c r="GTP71" s="519" t="n"/>
      <c r="GTQ71" s="519" t="n">
        <v>45341</v>
      </c>
      <c r="GTT71" s="137" t="n">
        <v>218.95</v>
      </c>
      <c r="GTU71" s="30" t="n"/>
      <c r="GTV71" s="451" t="n"/>
      <c r="GTW71" s="34" t="n"/>
      <c r="GTX71" s="30" t="n"/>
      <c r="GTY71" s="138">
        <f>+GTU71-GTW71-GTY71</f>
        <v/>
      </c>
      <c r="GTZ71" s="533" t="n"/>
      <c r="GUA71" s="515" t="inlineStr">
        <is>
          <t>SEGUROS</t>
        </is>
      </c>
      <c r="GUB71" s="534" t="inlineStr">
        <is>
          <t>RIMAC SEGUROS</t>
        </is>
      </c>
      <c r="GUC71" s="447" t="n"/>
      <c r="GUD71" s="529" t="n">
        <v>1086478942</v>
      </c>
      <c r="GUE71" s="518" t="n"/>
      <c r="GUF71" s="519" t="n"/>
      <c r="GUG71" s="519" t="n">
        <v>45341</v>
      </c>
      <c r="GUJ71" s="137" t="n">
        <v>218.95</v>
      </c>
      <c r="GUK71" s="30" t="n"/>
      <c r="GUL71" s="451" t="n"/>
      <c r="GUM71" s="34" t="n"/>
      <c r="GUN71" s="30" t="n"/>
      <c r="GUO71" s="138">
        <f>+GUK71-GUM71-GUO71</f>
        <v/>
      </c>
      <c r="GUP71" s="533" t="n"/>
      <c r="GUQ71" s="515" t="inlineStr">
        <is>
          <t>SEGUROS</t>
        </is>
      </c>
      <c r="GUR71" s="534" t="inlineStr">
        <is>
          <t>RIMAC SEGUROS</t>
        </is>
      </c>
      <c r="GUS71" s="447" t="n"/>
      <c r="GUT71" s="529" t="n">
        <v>1086478942</v>
      </c>
      <c r="GUU71" s="518" t="n"/>
      <c r="GUV71" s="519" t="n"/>
      <c r="GUW71" s="519" t="n">
        <v>45341</v>
      </c>
      <c r="GUZ71" s="137" t="n">
        <v>218.95</v>
      </c>
      <c r="GVA71" s="30" t="n"/>
      <c r="GVB71" s="451" t="n"/>
      <c r="GVC71" s="34" t="n"/>
      <c r="GVD71" s="30" t="n"/>
      <c r="GVE71" s="138">
        <f>+GVA71-GVC71-GVE71</f>
        <v/>
      </c>
      <c r="GVF71" s="533" t="n"/>
      <c r="GVG71" s="515" t="inlineStr">
        <is>
          <t>SEGUROS</t>
        </is>
      </c>
      <c r="GVH71" s="534" t="inlineStr">
        <is>
          <t>RIMAC SEGUROS</t>
        </is>
      </c>
      <c r="GVI71" s="447" t="n"/>
      <c r="GVJ71" s="529" t="n">
        <v>1086478942</v>
      </c>
      <c r="GVK71" s="518" t="n"/>
      <c r="GVL71" s="519" t="n"/>
      <c r="GVM71" s="519" t="n">
        <v>45341</v>
      </c>
      <c r="GVP71" s="137" t="n">
        <v>218.95</v>
      </c>
      <c r="GVQ71" s="30" t="n"/>
      <c r="GVR71" s="451" t="n"/>
      <c r="GVS71" s="34" t="n"/>
      <c r="GVT71" s="30" t="n"/>
      <c r="GVU71" s="138">
        <f>+GVQ71-GVS71-GVU71</f>
        <v/>
      </c>
      <c r="GVV71" s="533" t="n"/>
      <c r="GVW71" s="515" t="inlineStr">
        <is>
          <t>SEGUROS</t>
        </is>
      </c>
      <c r="GVX71" s="534" t="inlineStr">
        <is>
          <t>RIMAC SEGUROS</t>
        </is>
      </c>
      <c r="GVY71" s="447" t="n"/>
      <c r="GVZ71" s="529" t="n">
        <v>1086478942</v>
      </c>
      <c r="GWA71" s="518" t="n"/>
      <c r="GWB71" s="519" t="n"/>
      <c r="GWC71" s="519" t="n">
        <v>45341</v>
      </c>
      <c r="GWF71" s="137" t="n">
        <v>218.95</v>
      </c>
      <c r="GWG71" s="30" t="n"/>
      <c r="GWH71" s="451" t="n"/>
      <c r="GWI71" s="34" t="n"/>
      <c r="GWJ71" s="30" t="n"/>
      <c r="GWK71" s="138">
        <f>+GWG71-GWI71-GWK71</f>
        <v/>
      </c>
      <c r="GWL71" s="533" t="n"/>
      <c r="GWM71" s="515" t="inlineStr">
        <is>
          <t>SEGUROS</t>
        </is>
      </c>
      <c r="GWN71" s="534" t="inlineStr">
        <is>
          <t>RIMAC SEGUROS</t>
        </is>
      </c>
      <c r="GWO71" s="447" t="n"/>
      <c r="GWP71" s="529" t="n">
        <v>1086478942</v>
      </c>
      <c r="GWQ71" s="518" t="n"/>
      <c r="GWR71" s="519" t="n"/>
      <c r="GWS71" s="519" t="n">
        <v>45341</v>
      </c>
      <c r="GWV71" s="137" t="n">
        <v>218.95</v>
      </c>
      <c r="GWW71" s="30" t="n"/>
      <c r="GWX71" s="451" t="n"/>
      <c r="GWY71" s="34" t="n"/>
      <c r="GWZ71" s="30" t="n"/>
      <c r="GXA71" s="138">
        <f>+GWW71-GWY71-GXA71</f>
        <v/>
      </c>
      <c r="GXB71" s="533" t="n"/>
      <c r="GXC71" s="515" t="inlineStr">
        <is>
          <t>SEGUROS</t>
        </is>
      </c>
      <c r="GXD71" s="534" t="inlineStr">
        <is>
          <t>RIMAC SEGUROS</t>
        </is>
      </c>
      <c r="GXE71" s="447" t="n"/>
      <c r="GXF71" s="529" t="n">
        <v>1086478942</v>
      </c>
      <c r="GXG71" s="518" t="n"/>
      <c r="GXH71" s="519" t="n"/>
      <c r="GXI71" s="519" t="n">
        <v>45341</v>
      </c>
      <c r="GXL71" s="137" t="n">
        <v>218.95</v>
      </c>
      <c r="GXM71" s="30" t="n"/>
      <c r="GXN71" s="451" t="n"/>
      <c r="GXO71" s="34" t="n"/>
      <c r="GXP71" s="30" t="n"/>
      <c r="GXQ71" s="138">
        <f>+GXM71-GXO71-GXQ71</f>
        <v/>
      </c>
      <c r="GXR71" s="533" t="n"/>
      <c r="GXS71" s="515" t="inlineStr">
        <is>
          <t>SEGUROS</t>
        </is>
      </c>
      <c r="GXT71" s="534" t="inlineStr">
        <is>
          <t>RIMAC SEGUROS</t>
        </is>
      </c>
      <c r="GXU71" s="447" t="n"/>
      <c r="GXV71" s="529" t="n">
        <v>1086478942</v>
      </c>
      <c r="GXW71" s="518" t="n"/>
      <c r="GXX71" s="519" t="n"/>
      <c r="GXY71" s="519" t="n">
        <v>45341</v>
      </c>
      <c r="GYB71" s="137" t="n">
        <v>218.95</v>
      </c>
      <c r="GYC71" s="30" t="n"/>
      <c r="GYD71" s="451" t="n"/>
      <c r="GYE71" s="34" t="n"/>
      <c r="GYF71" s="30" t="n"/>
      <c r="GYG71" s="138">
        <f>+GYC71-GYE71-GYG71</f>
        <v/>
      </c>
      <c r="GYH71" s="533" t="n"/>
      <c r="GYI71" s="515" t="inlineStr">
        <is>
          <t>SEGUROS</t>
        </is>
      </c>
      <c r="GYJ71" s="534" t="inlineStr">
        <is>
          <t>RIMAC SEGUROS</t>
        </is>
      </c>
      <c r="GYK71" s="447" t="n"/>
      <c r="GYL71" s="529" t="n">
        <v>1086478942</v>
      </c>
      <c r="GYM71" s="518" t="n"/>
      <c r="GYN71" s="519" t="n"/>
      <c r="GYO71" s="519" t="n">
        <v>45341</v>
      </c>
      <c r="GYR71" s="137" t="n">
        <v>218.95</v>
      </c>
      <c r="GYS71" s="30" t="n"/>
      <c r="GYT71" s="451" t="n"/>
      <c r="GYU71" s="34" t="n"/>
      <c r="GYV71" s="30" t="n"/>
      <c r="GYW71" s="138">
        <f>+GYS71-GYU71-GYW71</f>
        <v/>
      </c>
      <c r="GYX71" s="533" t="n"/>
      <c r="GYY71" s="515" t="inlineStr">
        <is>
          <t>SEGUROS</t>
        </is>
      </c>
      <c r="GYZ71" s="534" t="inlineStr">
        <is>
          <t>RIMAC SEGUROS</t>
        </is>
      </c>
      <c r="GZA71" s="447" t="n"/>
      <c r="GZB71" s="529" t="n">
        <v>1086478942</v>
      </c>
      <c r="GZC71" s="518" t="n"/>
      <c r="GZD71" s="519" t="n"/>
      <c r="GZE71" s="519" t="n">
        <v>45341</v>
      </c>
      <c r="GZH71" s="137" t="n">
        <v>218.95</v>
      </c>
      <c r="GZI71" s="30" t="n"/>
      <c r="GZJ71" s="451" t="n"/>
      <c r="GZK71" s="34" t="n"/>
      <c r="GZL71" s="30" t="n"/>
      <c r="GZM71" s="138">
        <f>+GZI71-GZK71-GZM71</f>
        <v/>
      </c>
      <c r="GZN71" s="533" t="n"/>
      <c r="GZO71" s="515" t="inlineStr">
        <is>
          <t>SEGUROS</t>
        </is>
      </c>
      <c r="GZP71" s="534" t="inlineStr">
        <is>
          <t>RIMAC SEGUROS</t>
        </is>
      </c>
      <c r="GZQ71" s="447" t="n"/>
      <c r="GZR71" s="529" t="n">
        <v>1086478942</v>
      </c>
      <c r="GZS71" s="518" t="n"/>
      <c r="GZT71" s="519" t="n"/>
      <c r="GZU71" s="519" t="n">
        <v>45341</v>
      </c>
      <c r="GZX71" s="137" t="n">
        <v>218.95</v>
      </c>
      <c r="GZY71" s="30" t="n"/>
      <c r="GZZ71" s="451" t="n"/>
      <c r="HAA71" s="34" t="n"/>
      <c r="HAB71" s="30" t="n"/>
      <c r="HAC71" s="138">
        <f>+GZY71-HAA71-HAC71</f>
        <v/>
      </c>
      <c r="HAD71" s="533" t="n"/>
      <c r="HAE71" s="515" t="inlineStr">
        <is>
          <t>SEGUROS</t>
        </is>
      </c>
      <c r="HAF71" s="534" t="inlineStr">
        <is>
          <t>RIMAC SEGUROS</t>
        </is>
      </c>
      <c r="HAG71" s="447" t="n"/>
      <c r="HAH71" s="529" t="n">
        <v>1086478942</v>
      </c>
      <c r="HAI71" s="518" t="n"/>
      <c r="HAJ71" s="519" t="n"/>
      <c r="HAK71" s="519" t="n">
        <v>45341</v>
      </c>
      <c r="HAN71" s="137" t="n">
        <v>218.95</v>
      </c>
      <c r="HAO71" s="30" t="n"/>
      <c r="HAP71" s="451" t="n"/>
      <c r="HAQ71" s="34" t="n"/>
      <c r="HAR71" s="30" t="n"/>
      <c r="HAS71" s="138">
        <f>+HAO71-HAQ71-HAS71</f>
        <v/>
      </c>
      <c r="HAT71" s="533" t="n"/>
      <c r="HAU71" s="515" t="inlineStr">
        <is>
          <t>SEGUROS</t>
        </is>
      </c>
      <c r="HAV71" s="534" t="inlineStr">
        <is>
          <t>RIMAC SEGUROS</t>
        </is>
      </c>
      <c r="HAW71" s="447" t="n"/>
      <c r="HAX71" s="529" t="n">
        <v>1086478942</v>
      </c>
      <c r="HAY71" s="518" t="n"/>
      <c r="HAZ71" s="519" t="n"/>
      <c r="HBA71" s="519" t="n">
        <v>45341</v>
      </c>
      <c r="HBD71" s="137" t="n">
        <v>218.95</v>
      </c>
      <c r="HBE71" s="30" t="n"/>
      <c r="HBF71" s="451" t="n"/>
      <c r="HBG71" s="34" t="n"/>
      <c r="HBH71" s="30" t="n"/>
      <c r="HBI71" s="138">
        <f>+HBE71-HBG71-HBI71</f>
        <v/>
      </c>
      <c r="HBJ71" s="533" t="n"/>
      <c r="HBK71" s="515" t="inlineStr">
        <is>
          <t>SEGUROS</t>
        </is>
      </c>
      <c r="HBL71" s="534" t="inlineStr">
        <is>
          <t>RIMAC SEGUROS</t>
        </is>
      </c>
      <c r="HBM71" s="447" t="n"/>
      <c r="HBN71" s="529" t="n">
        <v>1086478942</v>
      </c>
      <c r="HBO71" s="518" t="n"/>
      <c r="HBP71" s="519" t="n"/>
      <c r="HBQ71" s="519" t="n">
        <v>45341</v>
      </c>
      <c r="HBT71" s="137" t="n">
        <v>218.95</v>
      </c>
      <c r="HBU71" s="30" t="n"/>
      <c r="HBV71" s="451" t="n"/>
      <c r="HBW71" s="34" t="n"/>
      <c r="HBX71" s="30" t="n"/>
      <c r="HBY71" s="138">
        <f>+HBU71-HBW71-HBY71</f>
        <v/>
      </c>
      <c r="HBZ71" s="533" t="n"/>
      <c r="HCA71" s="515" t="inlineStr">
        <is>
          <t>SEGUROS</t>
        </is>
      </c>
      <c r="HCB71" s="534" t="inlineStr">
        <is>
          <t>RIMAC SEGUROS</t>
        </is>
      </c>
      <c r="HCC71" s="447" t="n"/>
      <c r="HCD71" s="529" t="n">
        <v>1086478942</v>
      </c>
      <c r="HCE71" s="518" t="n"/>
      <c r="HCF71" s="519" t="n"/>
      <c r="HCG71" s="519" t="n">
        <v>45341</v>
      </c>
      <c r="HCJ71" s="137" t="n">
        <v>218.95</v>
      </c>
      <c r="HCK71" s="30" t="n"/>
      <c r="HCL71" s="451" t="n"/>
      <c r="HCM71" s="34" t="n"/>
      <c r="HCN71" s="30" t="n"/>
      <c r="HCO71" s="138">
        <f>+HCK71-HCM71-HCO71</f>
        <v/>
      </c>
      <c r="HCP71" s="533" t="n"/>
      <c r="HCQ71" s="515" t="inlineStr">
        <is>
          <t>SEGUROS</t>
        </is>
      </c>
      <c r="HCR71" s="534" t="inlineStr">
        <is>
          <t>RIMAC SEGUROS</t>
        </is>
      </c>
      <c r="HCS71" s="447" t="n"/>
      <c r="HCT71" s="529" t="n">
        <v>1086478942</v>
      </c>
      <c r="HCU71" s="518" t="n"/>
      <c r="HCV71" s="519" t="n"/>
      <c r="HCW71" s="519" t="n">
        <v>45341</v>
      </c>
      <c r="HCZ71" s="137" t="n">
        <v>218.95</v>
      </c>
      <c r="HDA71" s="30" t="n"/>
      <c r="HDB71" s="451" t="n"/>
      <c r="HDC71" s="34" t="n"/>
      <c r="HDD71" s="30" t="n"/>
      <c r="HDE71" s="138">
        <f>+HDA71-HDC71-HDE71</f>
        <v/>
      </c>
      <c r="HDF71" s="533" t="n"/>
      <c r="HDG71" s="515" t="inlineStr">
        <is>
          <t>SEGUROS</t>
        </is>
      </c>
      <c r="HDH71" s="534" t="inlineStr">
        <is>
          <t>RIMAC SEGUROS</t>
        </is>
      </c>
      <c r="HDI71" s="447" t="n"/>
      <c r="HDJ71" s="529" t="n">
        <v>1086478942</v>
      </c>
      <c r="HDK71" s="518" t="n"/>
      <c r="HDL71" s="519" t="n"/>
      <c r="HDM71" s="519" t="n">
        <v>45341</v>
      </c>
      <c r="HDP71" s="137" t="n">
        <v>218.95</v>
      </c>
      <c r="HDQ71" s="30" t="n"/>
      <c r="HDR71" s="451" t="n"/>
      <c r="HDS71" s="34" t="n"/>
      <c r="HDT71" s="30" t="n"/>
      <c r="HDU71" s="138">
        <f>+HDQ71-HDS71-HDU71</f>
        <v/>
      </c>
      <c r="HDV71" s="533" t="n"/>
      <c r="HDW71" s="515" t="inlineStr">
        <is>
          <t>SEGUROS</t>
        </is>
      </c>
      <c r="HDX71" s="534" t="inlineStr">
        <is>
          <t>RIMAC SEGUROS</t>
        </is>
      </c>
      <c r="HDY71" s="447" t="n"/>
      <c r="HDZ71" s="529" t="n">
        <v>1086478942</v>
      </c>
      <c r="HEA71" s="518" t="n"/>
      <c r="HEB71" s="519" t="n"/>
      <c r="HEC71" s="519" t="n">
        <v>45341</v>
      </c>
      <c r="HEF71" s="137" t="n">
        <v>218.95</v>
      </c>
      <c r="HEG71" s="30" t="n"/>
      <c r="HEH71" s="451" t="n"/>
      <c r="HEI71" s="34" t="n"/>
      <c r="HEJ71" s="30" t="n"/>
      <c r="HEK71" s="138">
        <f>+HEG71-HEI71-HEK71</f>
        <v/>
      </c>
      <c r="HEL71" s="533" t="n"/>
      <c r="HEM71" s="515" t="inlineStr">
        <is>
          <t>SEGUROS</t>
        </is>
      </c>
      <c r="HEN71" s="534" t="inlineStr">
        <is>
          <t>RIMAC SEGUROS</t>
        </is>
      </c>
      <c r="HEO71" s="447" t="n"/>
      <c r="HEP71" s="529" t="n">
        <v>1086478942</v>
      </c>
      <c r="HEQ71" s="518" t="n"/>
      <c r="HER71" s="519" t="n"/>
      <c r="HES71" s="519" t="n">
        <v>45341</v>
      </c>
      <c r="HEV71" s="137" t="n">
        <v>218.95</v>
      </c>
      <c r="HEW71" s="30" t="n"/>
      <c r="HEX71" s="451" t="n"/>
      <c r="HEY71" s="34" t="n"/>
      <c r="HEZ71" s="30" t="n"/>
      <c r="HFA71" s="138">
        <f>+HEW71-HEY71-HFA71</f>
        <v/>
      </c>
      <c r="HFB71" s="533" t="n"/>
      <c r="HFC71" s="515" t="inlineStr">
        <is>
          <t>SEGUROS</t>
        </is>
      </c>
      <c r="HFD71" s="534" t="inlineStr">
        <is>
          <t>RIMAC SEGUROS</t>
        </is>
      </c>
      <c r="HFE71" s="447" t="n"/>
      <c r="HFF71" s="529" t="n">
        <v>1086478942</v>
      </c>
      <c r="HFG71" s="518" t="n"/>
      <c r="HFH71" s="519" t="n"/>
      <c r="HFI71" s="519" t="n">
        <v>45341</v>
      </c>
      <c r="HFL71" s="137" t="n">
        <v>218.95</v>
      </c>
      <c r="HFM71" s="30" t="n"/>
      <c r="HFN71" s="451" t="n"/>
      <c r="HFO71" s="34" t="n"/>
      <c r="HFP71" s="30" t="n"/>
      <c r="HFQ71" s="138">
        <f>+HFM71-HFO71-HFQ71</f>
        <v/>
      </c>
      <c r="HFR71" s="533" t="n"/>
      <c r="HFS71" s="515" t="inlineStr">
        <is>
          <t>SEGUROS</t>
        </is>
      </c>
      <c r="HFT71" s="534" t="inlineStr">
        <is>
          <t>RIMAC SEGUROS</t>
        </is>
      </c>
      <c r="HFU71" s="447" t="n"/>
      <c r="HFV71" s="529" t="n">
        <v>1086478942</v>
      </c>
      <c r="HFW71" s="518" t="n"/>
      <c r="HFX71" s="519" t="n"/>
      <c r="HFY71" s="519" t="n">
        <v>45341</v>
      </c>
      <c r="HGB71" s="137" t="n">
        <v>218.95</v>
      </c>
      <c r="HGC71" s="30" t="n"/>
      <c r="HGD71" s="451" t="n"/>
      <c r="HGE71" s="34" t="n"/>
      <c r="HGF71" s="30" t="n"/>
      <c r="HGG71" s="138">
        <f>+HGC71-HGE71-HGG71</f>
        <v/>
      </c>
      <c r="HGH71" s="533" t="n"/>
      <c r="HGI71" s="515" t="inlineStr">
        <is>
          <t>SEGUROS</t>
        </is>
      </c>
      <c r="HGJ71" s="534" t="inlineStr">
        <is>
          <t>RIMAC SEGUROS</t>
        </is>
      </c>
      <c r="HGK71" s="447" t="n"/>
      <c r="HGL71" s="529" t="n">
        <v>1086478942</v>
      </c>
      <c r="HGM71" s="518" t="n"/>
      <c r="HGN71" s="519" t="n"/>
      <c r="HGO71" s="519" t="n">
        <v>45341</v>
      </c>
      <c r="HGR71" s="137" t="n">
        <v>218.95</v>
      </c>
      <c r="HGS71" s="30" t="n"/>
      <c r="HGT71" s="451" t="n"/>
      <c r="HGU71" s="34" t="n"/>
      <c r="HGV71" s="30" t="n"/>
      <c r="HGW71" s="138">
        <f>+HGS71-HGU71-HGW71</f>
        <v/>
      </c>
      <c r="HGX71" s="533" t="n"/>
      <c r="HGY71" s="515" t="inlineStr">
        <is>
          <t>SEGUROS</t>
        </is>
      </c>
      <c r="HGZ71" s="534" t="inlineStr">
        <is>
          <t>RIMAC SEGUROS</t>
        </is>
      </c>
      <c r="HHA71" s="447" t="n"/>
      <c r="HHB71" s="529" t="n">
        <v>1086478942</v>
      </c>
      <c r="HHC71" s="518" t="n"/>
      <c r="HHD71" s="519" t="n"/>
      <c r="HHE71" s="519" t="n">
        <v>45341</v>
      </c>
      <c r="HHH71" s="137" t="n">
        <v>218.95</v>
      </c>
      <c r="HHI71" s="30" t="n"/>
      <c r="HHJ71" s="451" t="n"/>
      <c r="HHK71" s="34" t="n"/>
      <c r="HHL71" s="30" t="n"/>
      <c r="HHM71" s="138">
        <f>+HHI71-HHK71-HHM71</f>
        <v/>
      </c>
      <c r="HHN71" s="533" t="n"/>
      <c r="HHO71" s="515" t="inlineStr">
        <is>
          <t>SEGUROS</t>
        </is>
      </c>
      <c r="HHP71" s="534" t="inlineStr">
        <is>
          <t>RIMAC SEGUROS</t>
        </is>
      </c>
      <c r="HHQ71" s="447" t="n"/>
      <c r="HHR71" s="529" t="n">
        <v>1086478942</v>
      </c>
      <c r="HHS71" s="518" t="n"/>
      <c r="HHT71" s="519" t="n"/>
      <c r="HHU71" s="519" t="n">
        <v>45341</v>
      </c>
      <c r="HHX71" s="137" t="n">
        <v>218.95</v>
      </c>
      <c r="HHY71" s="30" t="n"/>
      <c r="HHZ71" s="451" t="n"/>
      <c r="HIA71" s="34" t="n"/>
      <c r="HIB71" s="30" t="n"/>
      <c r="HIC71" s="138">
        <f>+HHY71-HIA71-HIC71</f>
        <v/>
      </c>
      <c r="HID71" s="533" t="n"/>
      <c r="HIE71" s="515" t="inlineStr">
        <is>
          <t>SEGUROS</t>
        </is>
      </c>
      <c r="HIF71" s="534" t="inlineStr">
        <is>
          <t>RIMAC SEGUROS</t>
        </is>
      </c>
      <c r="HIG71" s="447" t="n"/>
      <c r="HIH71" s="529" t="n">
        <v>1086478942</v>
      </c>
      <c r="HII71" s="518" t="n"/>
      <c r="HIJ71" s="519" t="n"/>
      <c r="HIK71" s="519" t="n">
        <v>45341</v>
      </c>
      <c r="HIN71" s="137" t="n">
        <v>218.95</v>
      </c>
      <c r="HIO71" s="30" t="n"/>
      <c r="HIP71" s="451" t="n"/>
      <c r="HIQ71" s="34" t="n"/>
      <c r="HIR71" s="30" t="n"/>
      <c r="HIS71" s="138">
        <f>+HIO71-HIQ71-HIS71</f>
        <v/>
      </c>
      <c r="HIT71" s="533" t="n"/>
      <c r="HIU71" s="515" t="inlineStr">
        <is>
          <t>SEGUROS</t>
        </is>
      </c>
      <c r="HIV71" s="534" t="inlineStr">
        <is>
          <t>RIMAC SEGUROS</t>
        </is>
      </c>
      <c r="HIW71" s="447" t="n"/>
      <c r="HIX71" s="529" t="n">
        <v>1086478942</v>
      </c>
      <c r="HIY71" s="518" t="n"/>
      <c r="HIZ71" s="519" t="n"/>
      <c r="HJA71" s="519" t="n">
        <v>45341</v>
      </c>
      <c r="HJD71" s="137" t="n">
        <v>218.95</v>
      </c>
      <c r="HJE71" s="30" t="n"/>
      <c r="HJF71" s="451" t="n"/>
      <c r="HJG71" s="34" t="n"/>
      <c r="HJH71" s="30" t="n"/>
      <c r="HJI71" s="138">
        <f>+HJE71-HJG71-HJI71</f>
        <v/>
      </c>
      <c r="HJJ71" s="533" t="n"/>
      <c r="HJK71" s="515" t="inlineStr">
        <is>
          <t>SEGUROS</t>
        </is>
      </c>
      <c r="HJL71" s="534" t="inlineStr">
        <is>
          <t>RIMAC SEGUROS</t>
        </is>
      </c>
      <c r="HJM71" s="447" t="n"/>
      <c r="HJN71" s="529" t="n">
        <v>1086478942</v>
      </c>
      <c r="HJO71" s="518" t="n"/>
      <c r="HJP71" s="519" t="n"/>
      <c r="HJQ71" s="519" t="n">
        <v>45341</v>
      </c>
      <c r="HJT71" s="137" t="n">
        <v>218.95</v>
      </c>
      <c r="HJU71" s="30" t="n"/>
      <c r="HJV71" s="451" t="n"/>
      <c r="HJW71" s="34" t="n"/>
      <c r="HJX71" s="30" t="n"/>
      <c r="HJY71" s="138">
        <f>+HJU71-HJW71-HJY71</f>
        <v/>
      </c>
      <c r="HJZ71" s="533" t="n"/>
      <c r="HKA71" s="515" t="inlineStr">
        <is>
          <t>SEGUROS</t>
        </is>
      </c>
      <c r="HKB71" s="534" t="inlineStr">
        <is>
          <t>RIMAC SEGUROS</t>
        </is>
      </c>
      <c r="HKC71" s="447" t="n"/>
      <c r="HKD71" s="529" t="n">
        <v>1086478942</v>
      </c>
      <c r="HKE71" s="518" t="n"/>
      <c r="HKF71" s="519" t="n"/>
      <c r="HKG71" s="519" t="n">
        <v>45341</v>
      </c>
      <c r="HKJ71" s="137" t="n">
        <v>218.95</v>
      </c>
      <c r="HKK71" s="30" t="n"/>
      <c r="HKL71" s="451" t="n"/>
      <c r="HKM71" s="34" t="n"/>
      <c r="HKN71" s="30" t="n"/>
      <c r="HKO71" s="138">
        <f>+HKK71-HKM71-HKO71</f>
        <v/>
      </c>
      <c r="HKP71" s="533" t="n"/>
      <c r="HKQ71" s="515" t="inlineStr">
        <is>
          <t>SEGUROS</t>
        </is>
      </c>
      <c r="HKR71" s="534" t="inlineStr">
        <is>
          <t>RIMAC SEGUROS</t>
        </is>
      </c>
      <c r="HKS71" s="447" t="n"/>
      <c r="HKT71" s="529" t="n">
        <v>1086478942</v>
      </c>
      <c r="HKU71" s="518" t="n"/>
      <c r="HKV71" s="519" t="n"/>
      <c r="HKW71" s="519" t="n">
        <v>45341</v>
      </c>
      <c r="HKZ71" s="137" t="n">
        <v>218.95</v>
      </c>
      <c r="HLA71" s="30" t="n"/>
      <c r="HLB71" s="451" t="n"/>
      <c r="HLC71" s="34" t="n"/>
      <c r="HLD71" s="30" t="n"/>
      <c r="HLE71" s="138">
        <f>+HLA71-HLC71-HLE71</f>
        <v/>
      </c>
      <c r="HLF71" s="533" t="n"/>
      <c r="HLG71" s="515" t="inlineStr">
        <is>
          <t>SEGUROS</t>
        </is>
      </c>
      <c r="HLH71" s="534" t="inlineStr">
        <is>
          <t>RIMAC SEGUROS</t>
        </is>
      </c>
      <c r="HLI71" s="447" t="n"/>
      <c r="HLJ71" s="529" t="n">
        <v>1086478942</v>
      </c>
      <c r="HLK71" s="518" t="n"/>
      <c r="HLL71" s="519" t="n"/>
      <c r="HLM71" s="519" t="n">
        <v>45341</v>
      </c>
      <c r="HLP71" s="137" t="n">
        <v>218.95</v>
      </c>
      <c r="HLQ71" s="30" t="n"/>
      <c r="HLR71" s="451" t="n"/>
      <c r="HLS71" s="34" t="n"/>
      <c r="HLT71" s="30" t="n"/>
      <c r="HLU71" s="138">
        <f>+HLQ71-HLS71-HLU71</f>
        <v/>
      </c>
      <c r="HLV71" s="533" t="n"/>
      <c r="HLW71" s="515" t="inlineStr">
        <is>
          <t>SEGUROS</t>
        </is>
      </c>
      <c r="HLX71" s="534" t="inlineStr">
        <is>
          <t>RIMAC SEGUROS</t>
        </is>
      </c>
      <c r="HLY71" s="447" t="n"/>
      <c r="HLZ71" s="529" t="n">
        <v>1086478942</v>
      </c>
      <c r="HMA71" s="518" t="n"/>
      <c r="HMB71" s="519" t="n"/>
      <c r="HMC71" s="519" t="n">
        <v>45341</v>
      </c>
      <c r="HMF71" s="137" t="n">
        <v>218.95</v>
      </c>
      <c r="HMG71" s="30" t="n"/>
      <c r="HMH71" s="451" t="n"/>
      <c r="HMI71" s="34" t="n"/>
      <c r="HMJ71" s="30" t="n"/>
      <c r="HMK71" s="138">
        <f>+HMG71-HMI71-HMK71</f>
        <v/>
      </c>
      <c r="HML71" s="533" t="n"/>
      <c r="HMM71" s="515" t="inlineStr">
        <is>
          <t>SEGUROS</t>
        </is>
      </c>
      <c r="HMN71" s="534" t="inlineStr">
        <is>
          <t>RIMAC SEGUROS</t>
        </is>
      </c>
      <c r="HMO71" s="447" t="n"/>
      <c r="HMP71" s="529" t="n">
        <v>1086478942</v>
      </c>
      <c r="HMQ71" s="518" t="n"/>
      <c r="HMR71" s="519" t="n"/>
      <c r="HMS71" s="519" t="n">
        <v>45341</v>
      </c>
      <c r="HMV71" s="137" t="n">
        <v>218.95</v>
      </c>
      <c r="HMW71" s="30" t="n"/>
      <c r="HMX71" s="451" t="n"/>
      <c r="HMY71" s="34" t="n"/>
      <c r="HMZ71" s="30" t="n"/>
      <c r="HNA71" s="138">
        <f>+HMW71-HMY71-HNA71</f>
        <v/>
      </c>
      <c r="HNB71" s="533" t="n"/>
      <c r="HNC71" s="515" t="inlineStr">
        <is>
          <t>SEGUROS</t>
        </is>
      </c>
      <c r="HND71" s="534" t="inlineStr">
        <is>
          <t>RIMAC SEGUROS</t>
        </is>
      </c>
      <c r="HNE71" s="447" t="n"/>
      <c r="HNF71" s="529" t="n">
        <v>1086478942</v>
      </c>
      <c r="HNG71" s="518" t="n"/>
      <c r="HNH71" s="519" t="n"/>
      <c r="HNI71" s="519" t="n">
        <v>45341</v>
      </c>
      <c r="HNL71" s="137" t="n">
        <v>218.95</v>
      </c>
      <c r="HNM71" s="30" t="n"/>
      <c r="HNN71" s="451" t="n"/>
      <c r="HNO71" s="34" t="n"/>
      <c r="HNP71" s="30" t="n"/>
      <c r="HNQ71" s="138">
        <f>+HNM71-HNO71-HNQ71</f>
        <v/>
      </c>
      <c r="HNR71" s="533" t="n"/>
      <c r="HNS71" s="515" t="inlineStr">
        <is>
          <t>SEGUROS</t>
        </is>
      </c>
      <c r="HNT71" s="534" t="inlineStr">
        <is>
          <t>RIMAC SEGUROS</t>
        </is>
      </c>
      <c r="HNU71" s="447" t="n"/>
      <c r="HNV71" s="529" t="n">
        <v>1086478942</v>
      </c>
      <c r="HNW71" s="518" t="n"/>
      <c r="HNX71" s="519" t="n"/>
      <c r="HNY71" s="519" t="n">
        <v>45341</v>
      </c>
      <c r="HOB71" s="137" t="n">
        <v>218.95</v>
      </c>
      <c r="HOC71" s="30" t="n"/>
      <c r="HOD71" s="451" t="n"/>
      <c r="HOE71" s="34" t="n"/>
      <c r="HOF71" s="30" t="n"/>
      <c r="HOG71" s="138">
        <f>+HOC71-HOE71-HOG71</f>
        <v/>
      </c>
      <c r="HOH71" s="533" t="n"/>
      <c r="HOI71" s="515" t="inlineStr">
        <is>
          <t>SEGUROS</t>
        </is>
      </c>
      <c r="HOJ71" s="534" t="inlineStr">
        <is>
          <t>RIMAC SEGUROS</t>
        </is>
      </c>
      <c r="HOK71" s="447" t="n"/>
      <c r="HOL71" s="529" t="n">
        <v>1086478942</v>
      </c>
      <c r="HOM71" s="518" t="n"/>
      <c r="HON71" s="519" t="n"/>
      <c r="HOO71" s="519" t="n">
        <v>45341</v>
      </c>
      <c r="HOR71" s="137" t="n">
        <v>218.95</v>
      </c>
      <c r="HOS71" s="30" t="n"/>
      <c r="HOT71" s="451" t="n"/>
      <c r="HOU71" s="34" t="n"/>
      <c r="HOV71" s="30" t="n"/>
      <c r="HOW71" s="138">
        <f>+HOS71-HOU71-HOW71</f>
        <v/>
      </c>
      <c r="HOX71" s="533" t="n"/>
      <c r="HOY71" s="515" t="inlineStr">
        <is>
          <t>SEGUROS</t>
        </is>
      </c>
      <c r="HOZ71" s="534" t="inlineStr">
        <is>
          <t>RIMAC SEGUROS</t>
        </is>
      </c>
      <c r="HPA71" s="447" t="n"/>
      <c r="HPB71" s="529" t="n">
        <v>1086478942</v>
      </c>
      <c r="HPC71" s="518" t="n"/>
      <c r="HPD71" s="519" t="n"/>
      <c r="HPE71" s="519" t="n">
        <v>45341</v>
      </c>
      <c r="HPH71" s="137" t="n">
        <v>218.95</v>
      </c>
      <c r="HPI71" s="30" t="n"/>
      <c r="HPJ71" s="451" t="n"/>
      <c r="HPK71" s="34" t="n"/>
      <c r="HPL71" s="30" t="n"/>
      <c r="HPM71" s="138">
        <f>+HPI71-HPK71-HPM71</f>
        <v/>
      </c>
      <c r="HPN71" s="533" t="n"/>
      <c r="HPO71" s="515" t="inlineStr">
        <is>
          <t>SEGUROS</t>
        </is>
      </c>
      <c r="HPP71" s="534" t="inlineStr">
        <is>
          <t>RIMAC SEGUROS</t>
        </is>
      </c>
      <c r="HPQ71" s="447" t="n"/>
      <c r="HPR71" s="529" t="n">
        <v>1086478942</v>
      </c>
      <c r="HPS71" s="518" t="n"/>
      <c r="HPT71" s="519" t="n"/>
      <c r="HPU71" s="519" t="n">
        <v>45341</v>
      </c>
      <c r="HPX71" s="137" t="n">
        <v>218.95</v>
      </c>
      <c r="HPY71" s="30" t="n"/>
      <c r="HPZ71" s="451" t="n"/>
      <c r="HQA71" s="34" t="n"/>
      <c r="HQB71" s="30" t="n"/>
      <c r="HQC71" s="138">
        <f>+HPY71-HQA71-HQC71</f>
        <v/>
      </c>
      <c r="HQD71" s="533" t="n"/>
      <c r="HQE71" s="515" t="inlineStr">
        <is>
          <t>SEGUROS</t>
        </is>
      </c>
      <c r="HQF71" s="534" t="inlineStr">
        <is>
          <t>RIMAC SEGUROS</t>
        </is>
      </c>
      <c r="HQG71" s="447" t="n"/>
      <c r="HQH71" s="529" t="n">
        <v>1086478942</v>
      </c>
      <c r="HQI71" s="518" t="n"/>
      <c r="HQJ71" s="519" t="n"/>
      <c r="HQK71" s="519" t="n">
        <v>45341</v>
      </c>
      <c r="HQN71" s="137" t="n">
        <v>218.95</v>
      </c>
      <c r="HQO71" s="30" t="n"/>
      <c r="HQP71" s="451" t="n"/>
      <c r="HQQ71" s="34" t="n"/>
      <c r="HQR71" s="30" t="n"/>
      <c r="HQS71" s="138">
        <f>+HQO71-HQQ71-HQS71</f>
        <v/>
      </c>
      <c r="HQT71" s="533" t="n"/>
      <c r="HQU71" s="515" t="inlineStr">
        <is>
          <t>SEGUROS</t>
        </is>
      </c>
      <c r="HQV71" s="534" t="inlineStr">
        <is>
          <t>RIMAC SEGUROS</t>
        </is>
      </c>
      <c r="HQW71" s="447" t="n"/>
      <c r="HQX71" s="529" t="n">
        <v>1086478942</v>
      </c>
      <c r="HQY71" s="518" t="n"/>
      <c r="HQZ71" s="519" t="n"/>
      <c r="HRA71" s="519" t="n">
        <v>45341</v>
      </c>
      <c r="HRD71" s="137" t="n">
        <v>218.95</v>
      </c>
      <c r="HRE71" s="30" t="n"/>
      <c r="HRF71" s="451" t="n"/>
      <c r="HRG71" s="34" t="n"/>
      <c r="HRH71" s="30" t="n"/>
      <c r="HRI71" s="138">
        <f>+HRE71-HRG71-HRI71</f>
        <v/>
      </c>
      <c r="HRJ71" s="533" t="n"/>
      <c r="HRK71" s="515" t="inlineStr">
        <is>
          <t>SEGUROS</t>
        </is>
      </c>
      <c r="HRL71" s="534" t="inlineStr">
        <is>
          <t>RIMAC SEGUROS</t>
        </is>
      </c>
      <c r="HRM71" s="447" t="n"/>
      <c r="HRN71" s="529" t="n">
        <v>1086478942</v>
      </c>
      <c r="HRO71" s="518" t="n"/>
      <c r="HRP71" s="519" t="n"/>
      <c r="HRQ71" s="519" t="n">
        <v>45341</v>
      </c>
      <c r="HRT71" s="137" t="n">
        <v>218.95</v>
      </c>
      <c r="HRU71" s="30" t="n"/>
      <c r="HRV71" s="451" t="n"/>
      <c r="HRW71" s="34" t="n"/>
      <c r="HRX71" s="30" t="n"/>
      <c r="HRY71" s="138">
        <f>+HRU71-HRW71-HRY71</f>
        <v/>
      </c>
      <c r="HRZ71" s="533" t="n"/>
      <c r="HSA71" s="515" t="inlineStr">
        <is>
          <t>SEGUROS</t>
        </is>
      </c>
      <c r="HSB71" s="534" t="inlineStr">
        <is>
          <t>RIMAC SEGUROS</t>
        </is>
      </c>
      <c r="HSC71" s="447" t="n"/>
      <c r="HSD71" s="529" t="n">
        <v>1086478942</v>
      </c>
      <c r="HSE71" s="518" t="n"/>
      <c r="HSF71" s="519" t="n"/>
      <c r="HSG71" s="519" t="n">
        <v>45341</v>
      </c>
      <c r="HSJ71" s="137" t="n">
        <v>218.95</v>
      </c>
      <c r="HSK71" s="30" t="n"/>
      <c r="HSL71" s="451" t="n"/>
      <c r="HSM71" s="34" t="n"/>
      <c r="HSN71" s="30" t="n"/>
      <c r="HSO71" s="138">
        <f>+HSK71-HSM71-HSO71</f>
        <v/>
      </c>
      <c r="HSP71" s="533" t="n"/>
      <c r="HSQ71" s="515" t="inlineStr">
        <is>
          <t>SEGUROS</t>
        </is>
      </c>
      <c r="HSR71" s="534" t="inlineStr">
        <is>
          <t>RIMAC SEGUROS</t>
        </is>
      </c>
      <c r="HSS71" s="447" t="n"/>
      <c r="HST71" s="529" t="n">
        <v>1086478942</v>
      </c>
      <c r="HSU71" s="518" t="n"/>
      <c r="HSV71" s="519" t="n"/>
      <c r="HSW71" s="519" t="n">
        <v>45341</v>
      </c>
      <c r="HSZ71" s="137" t="n">
        <v>218.95</v>
      </c>
      <c r="HTA71" s="30" t="n"/>
      <c r="HTB71" s="451" t="n"/>
      <c r="HTC71" s="34" t="n"/>
      <c r="HTD71" s="30" t="n"/>
      <c r="HTE71" s="138">
        <f>+HTA71-HTC71-HTE71</f>
        <v/>
      </c>
      <c r="HTF71" s="533" t="n"/>
      <c r="HTG71" s="515" t="inlineStr">
        <is>
          <t>SEGUROS</t>
        </is>
      </c>
      <c r="HTH71" s="534" t="inlineStr">
        <is>
          <t>RIMAC SEGUROS</t>
        </is>
      </c>
      <c r="HTI71" s="447" t="n"/>
      <c r="HTJ71" s="529" t="n">
        <v>1086478942</v>
      </c>
      <c r="HTK71" s="518" t="n"/>
      <c r="HTL71" s="519" t="n"/>
      <c r="HTM71" s="519" t="n">
        <v>45341</v>
      </c>
      <c r="HTP71" s="137" t="n">
        <v>218.95</v>
      </c>
      <c r="HTQ71" s="30" t="n"/>
      <c r="HTR71" s="451" t="n"/>
      <c r="HTS71" s="34" t="n"/>
      <c r="HTT71" s="30" t="n"/>
      <c r="HTU71" s="138">
        <f>+HTQ71-HTS71-HTU71</f>
        <v/>
      </c>
      <c r="HTV71" s="533" t="n"/>
      <c r="HTW71" s="515" t="inlineStr">
        <is>
          <t>SEGUROS</t>
        </is>
      </c>
      <c r="HTX71" s="534" t="inlineStr">
        <is>
          <t>RIMAC SEGUROS</t>
        </is>
      </c>
      <c r="HTY71" s="447" t="n"/>
      <c r="HTZ71" s="529" t="n">
        <v>1086478942</v>
      </c>
      <c r="HUA71" s="518" t="n"/>
      <c r="HUB71" s="519" t="n"/>
      <c r="HUC71" s="519" t="n">
        <v>45341</v>
      </c>
      <c r="HUF71" s="137" t="n">
        <v>218.95</v>
      </c>
      <c r="HUG71" s="30" t="n"/>
      <c r="HUH71" s="451" t="n"/>
      <c r="HUI71" s="34" t="n"/>
      <c r="HUJ71" s="30" t="n"/>
      <c r="HUK71" s="138">
        <f>+HUG71-HUI71-HUK71</f>
        <v/>
      </c>
      <c r="HUL71" s="533" t="n"/>
      <c r="HUM71" s="515" t="inlineStr">
        <is>
          <t>SEGUROS</t>
        </is>
      </c>
      <c r="HUN71" s="534" t="inlineStr">
        <is>
          <t>RIMAC SEGUROS</t>
        </is>
      </c>
      <c r="HUO71" s="447" t="n"/>
      <c r="HUP71" s="529" t="n">
        <v>1086478942</v>
      </c>
      <c r="HUQ71" s="518" t="n"/>
      <c r="HUR71" s="519" t="n"/>
      <c r="HUS71" s="519" t="n">
        <v>45341</v>
      </c>
      <c r="HUV71" s="137" t="n">
        <v>218.95</v>
      </c>
      <c r="HUW71" s="30" t="n"/>
      <c r="HUX71" s="451" t="n"/>
      <c r="HUY71" s="34" t="n"/>
      <c r="HUZ71" s="30" t="n"/>
      <c r="HVA71" s="138">
        <f>+HUW71-HUY71-HVA71</f>
        <v/>
      </c>
      <c r="HVB71" s="533" t="n"/>
      <c r="HVC71" s="515" t="inlineStr">
        <is>
          <t>SEGUROS</t>
        </is>
      </c>
      <c r="HVD71" s="534" t="inlineStr">
        <is>
          <t>RIMAC SEGUROS</t>
        </is>
      </c>
      <c r="HVE71" s="447" t="n"/>
      <c r="HVF71" s="529" t="n">
        <v>1086478942</v>
      </c>
      <c r="HVG71" s="518" t="n"/>
      <c r="HVH71" s="519" t="n"/>
      <c r="HVI71" s="519" t="n">
        <v>45341</v>
      </c>
      <c r="HVL71" s="137" t="n">
        <v>218.95</v>
      </c>
      <c r="HVM71" s="30" t="n"/>
      <c r="HVN71" s="451" t="n"/>
      <c r="HVO71" s="34" t="n"/>
      <c r="HVP71" s="30" t="n"/>
      <c r="HVQ71" s="138">
        <f>+HVM71-HVO71-HVQ71</f>
        <v/>
      </c>
      <c r="HVR71" s="533" t="n"/>
      <c r="HVS71" s="515" t="inlineStr">
        <is>
          <t>SEGUROS</t>
        </is>
      </c>
      <c r="HVT71" s="534" t="inlineStr">
        <is>
          <t>RIMAC SEGUROS</t>
        </is>
      </c>
      <c r="HVU71" s="447" t="n"/>
      <c r="HVV71" s="529" t="n">
        <v>1086478942</v>
      </c>
      <c r="HVW71" s="518" t="n"/>
      <c r="HVX71" s="519" t="n"/>
      <c r="HVY71" s="519" t="n">
        <v>45341</v>
      </c>
      <c r="HWB71" s="137" t="n">
        <v>218.95</v>
      </c>
      <c r="HWC71" s="30" t="n"/>
      <c r="HWD71" s="451" t="n"/>
      <c r="HWE71" s="34" t="n"/>
      <c r="HWF71" s="30" t="n"/>
      <c r="HWG71" s="138">
        <f>+HWC71-HWE71-HWG71</f>
        <v/>
      </c>
      <c r="HWH71" s="533" t="n"/>
      <c r="HWI71" s="515" t="inlineStr">
        <is>
          <t>SEGUROS</t>
        </is>
      </c>
      <c r="HWJ71" s="534" t="inlineStr">
        <is>
          <t>RIMAC SEGUROS</t>
        </is>
      </c>
      <c r="HWK71" s="447" t="n"/>
      <c r="HWL71" s="529" t="n">
        <v>1086478942</v>
      </c>
      <c r="HWM71" s="518" t="n"/>
      <c r="HWN71" s="519" t="n"/>
      <c r="HWO71" s="519" t="n">
        <v>45341</v>
      </c>
      <c r="HWR71" s="137" t="n">
        <v>218.95</v>
      </c>
      <c r="HWS71" s="30" t="n"/>
      <c r="HWT71" s="451" t="n"/>
      <c r="HWU71" s="34" t="n"/>
      <c r="HWV71" s="30" t="n"/>
      <c r="HWW71" s="138">
        <f>+HWS71-HWU71-HWW71</f>
        <v/>
      </c>
      <c r="HWX71" s="533" t="n"/>
      <c r="HWY71" s="515" t="inlineStr">
        <is>
          <t>SEGUROS</t>
        </is>
      </c>
      <c r="HWZ71" s="534" t="inlineStr">
        <is>
          <t>RIMAC SEGUROS</t>
        </is>
      </c>
      <c r="HXA71" s="447" t="n"/>
      <c r="HXB71" s="529" t="n">
        <v>1086478942</v>
      </c>
      <c r="HXC71" s="518" t="n"/>
      <c r="HXD71" s="519" t="n"/>
      <c r="HXE71" s="519" t="n">
        <v>45341</v>
      </c>
      <c r="HXH71" s="137" t="n">
        <v>218.95</v>
      </c>
      <c r="HXI71" s="30" t="n"/>
      <c r="HXJ71" s="451" t="n"/>
      <c r="HXK71" s="34" t="n"/>
      <c r="HXL71" s="30" t="n"/>
      <c r="HXM71" s="138">
        <f>+HXI71-HXK71-HXM71</f>
        <v/>
      </c>
      <c r="HXN71" s="533" t="n"/>
      <c r="HXO71" s="515" t="inlineStr">
        <is>
          <t>SEGUROS</t>
        </is>
      </c>
      <c r="HXP71" s="534" t="inlineStr">
        <is>
          <t>RIMAC SEGUROS</t>
        </is>
      </c>
      <c r="HXQ71" s="447" t="n"/>
      <c r="HXR71" s="529" t="n">
        <v>1086478942</v>
      </c>
      <c r="HXS71" s="518" t="n"/>
      <c r="HXT71" s="519" t="n"/>
      <c r="HXU71" s="519" t="n">
        <v>45341</v>
      </c>
      <c r="HXX71" s="137" t="n">
        <v>218.95</v>
      </c>
      <c r="HXY71" s="30" t="n"/>
      <c r="HXZ71" s="451" t="n"/>
      <c r="HYA71" s="34" t="n"/>
      <c r="HYB71" s="30" t="n"/>
      <c r="HYC71" s="138">
        <f>+HXY71-HYA71-HYC71</f>
        <v/>
      </c>
      <c r="HYD71" s="533" t="n"/>
      <c r="HYE71" s="515" t="inlineStr">
        <is>
          <t>SEGUROS</t>
        </is>
      </c>
      <c r="HYF71" s="534" t="inlineStr">
        <is>
          <t>RIMAC SEGUROS</t>
        </is>
      </c>
      <c r="HYG71" s="447" t="n"/>
      <c r="HYH71" s="529" t="n">
        <v>1086478942</v>
      </c>
      <c r="HYI71" s="518" t="n"/>
      <c r="HYJ71" s="519" t="n"/>
      <c r="HYK71" s="519" t="n">
        <v>45341</v>
      </c>
      <c r="HYN71" s="137" t="n">
        <v>218.95</v>
      </c>
      <c r="HYO71" s="30" t="n"/>
      <c r="HYP71" s="451" t="n"/>
      <c r="HYQ71" s="34" t="n"/>
      <c r="HYR71" s="30" t="n"/>
      <c r="HYS71" s="138">
        <f>+HYO71-HYQ71-HYS71</f>
        <v/>
      </c>
      <c r="HYT71" s="533" t="n"/>
      <c r="HYU71" s="515" t="inlineStr">
        <is>
          <t>SEGUROS</t>
        </is>
      </c>
      <c r="HYV71" s="534" t="inlineStr">
        <is>
          <t>RIMAC SEGUROS</t>
        </is>
      </c>
      <c r="HYW71" s="447" t="n"/>
      <c r="HYX71" s="529" t="n">
        <v>1086478942</v>
      </c>
      <c r="HYY71" s="518" t="n"/>
      <c r="HYZ71" s="519" t="n"/>
      <c r="HZA71" s="519" t="n">
        <v>45341</v>
      </c>
      <c r="HZD71" s="137" t="n">
        <v>218.95</v>
      </c>
      <c r="HZE71" s="30" t="n"/>
      <c r="HZF71" s="451" t="n"/>
      <c r="HZG71" s="34" t="n"/>
      <c r="HZH71" s="30" t="n"/>
      <c r="HZI71" s="138">
        <f>+HZE71-HZG71-HZI71</f>
        <v/>
      </c>
      <c r="HZJ71" s="533" t="n"/>
      <c r="HZK71" s="515" t="inlineStr">
        <is>
          <t>SEGUROS</t>
        </is>
      </c>
      <c r="HZL71" s="534" t="inlineStr">
        <is>
          <t>RIMAC SEGUROS</t>
        </is>
      </c>
      <c r="HZM71" s="447" t="n"/>
      <c r="HZN71" s="529" t="n">
        <v>1086478942</v>
      </c>
      <c r="HZO71" s="518" t="n"/>
      <c r="HZP71" s="519" t="n"/>
      <c r="HZQ71" s="519" t="n">
        <v>45341</v>
      </c>
      <c r="HZT71" s="137" t="n">
        <v>218.95</v>
      </c>
      <c r="HZU71" s="30" t="n"/>
      <c r="HZV71" s="451" t="n"/>
      <c r="HZW71" s="34" t="n"/>
      <c r="HZX71" s="30" t="n"/>
      <c r="HZY71" s="138">
        <f>+HZU71-HZW71-HZY71</f>
        <v/>
      </c>
      <c r="HZZ71" s="533" t="n"/>
      <c r="IAA71" s="515" t="inlineStr">
        <is>
          <t>SEGUROS</t>
        </is>
      </c>
      <c r="IAB71" s="534" t="inlineStr">
        <is>
          <t>RIMAC SEGUROS</t>
        </is>
      </c>
      <c r="IAC71" s="447" t="n"/>
      <c r="IAD71" s="529" t="n">
        <v>1086478942</v>
      </c>
      <c r="IAE71" s="518" t="n"/>
      <c r="IAF71" s="519" t="n"/>
      <c r="IAG71" s="519" t="n">
        <v>45341</v>
      </c>
      <c r="IAJ71" s="137" t="n">
        <v>218.95</v>
      </c>
      <c r="IAK71" s="30" t="n"/>
      <c r="IAL71" s="451" t="n"/>
      <c r="IAM71" s="34" t="n"/>
      <c r="IAN71" s="30" t="n"/>
      <c r="IAO71" s="138">
        <f>+IAK71-IAM71-IAO71</f>
        <v/>
      </c>
      <c r="IAP71" s="533" t="n"/>
      <c r="IAQ71" s="515" t="inlineStr">
        <is>
          <t>SEGUROS</t>
        </is>
      </c>
      <c r="IAR71" s="534" t="inlineStr">
        <is>
          <t>RIMAC SEGUROS</t>
        </is>
      </c>
      <c r="IAS71" s="447" t="n"/>
      <c r="IAT71" s="529" t="n">
        <v>1086478942</v>
      </c>
      <c r="IAU71" s="518" t="n"/>
      <c r="IAV71" s="519" t="n"/>
      <c r="IAW71" s="519" t="n">
        <v>45341</v>
      </c>
      <c r="IAZ71" s="137" t="n">
        <v>218.95</v>
      </c>
      <c r="IBA71" s="30" t="n"/>
      <c r="IBB71" s="451" t="n"/>
      <c r="IBC71" s="34" t="n"/>
      <c r="IBD71" s="30" t="n"/>
      <c r="IBE71" s="138">
        <f>+IBA71-IBC71-IBE71</f>
        <v/>
      </c>
      <c r="IBF71" s="533" t="n"/>
      <c r="IBG71" s="515" t="inlineStr">
        <is>
          <t>SEGUROS</t>
        </is>
      </c>
      <c r="IBH71" s="534" t="inlineStr">
        <is>
          <t>RIMAC SEGUROS</t>
        </is>
      </c>
      <c r="IBI71" s="447" t="n"/>
      <c r="IBJ71" s="529" t="n">
        <v>1086478942</v>
      </c>
      <c r="IBK71" s="518" t="n"/>
      <c r="IBL71" s="519" t="n"/>
      <c r="IBM71" s="519" t="n">
        <v>45341</v>
      </c>
      <c r="IBP71" s="137" t="n">
        <v>218.95</v>
      </c>
      <c r="IBQ71" s="30" t="n"/>
      <c r="IBR71" s="451" t="n"/>
      <c r="IBS71" s="34" t="n"/>
      <c r="IBT71" s="30" t="n"/>
      <c r="IBU71" s="138">
        <f>+IBQ71-IBS71-IBU71</f>
        <v/>
      </c>
      <c r="IBV71" s="533" t="n"/>
      <c r="IBW71" s="515" t="inlineStr">
        <is>
          <t>SEGUROS</t>
        </is>
      </c>
      <c r="IBX71" s="534" t="inlineStr">
        <is>
          <t>RIMAC SEGUROS</t>
        </is>
      </c>
      <c r="IBY71" s="447" t="n"/>
      <c r="IBZ71" s="529" t="n">
        <v>1086478942</v>
      </c>
      <c r="ICA71" s="518" t="n"/>
      <c r="ICB71" s="519" t="n"/>
      <c r="ICC71" s="519" t="n">
        <v>45341</v>
      </c>
      <c r="ICF71" s="137" t="n">
        <v>218.95</v>
      </c>
      <c r="ICG71" s="30" t="n"/>
      <c r="ICH71" s="451" t="n"/>
      <c r="ICI71" s="34" t="n"/>
      <c r="ICJ71" s="30" t="n"/>
      <c r="ICK71" s="138">
        <f>+ICG71-ICI71-ICK71</f>
        <v/>
      </c>
      <c r="ICL71" s="533" t="n"/>
      <c r="ICM71" s="515" t="inlineStr">
        <is>
          <t>SEGUROS</t>
        </is>
      </c>
      <c r="ICN71" s="534" t="inlineStr">
        <is>
          <t>RIMAC SEGUROS</t>
        </is>
      </c>
      <c r="ICO71" s="447" t="n"/>
      <c r="ICP71" s="529" t="n">
        <v>1086478942</v>
      </c>
      <c r="ICQ71" s="518" t="n"/>
      <c r="ICR71" s="519" t="n"/>
      <c r="ICS71" s="519" t="n">
        <v>45341</v>
      </c>
      <c r="ICV71" s="137" t="n">
        <v>218.95</v>
      </c>
      <c r="ICW71" s="30" t="n"/>
      <c r="ICX71" s="451" t="n"/>
      <c r="ICY71" s="34" t="n"/>
      <c r="ICZ71" s="30" t="n"/>
      <c r="IDA71" s="138">
        <f>+ICW71-ICY71-IDA71</f>
        <v/>
      </c>
      <c r="IDB71" s="533" t="n"/>
      <c r="IDC71" s="515" t="inlineStr">
        <is>
          <t>SEGUROS</t>
        </is>
      </c>
      <c r="IDD71" s="534" t="inlineStr">
        <is>
          <t>RIMAC SEGUROS</t>
        </is>
      </c>
      <c r="IDE71" s="447" t="n"/>
      <c r="IDF71" s="529" t="n">
        <v>1086478942</v>
      </c>
      <c r="IDG71" s="518" t="n"/>
      <c r="IDH71" s="519" t="n"/>
      <c r="IDI71" s="519" t="n">
        <v>45341</v>
      </c>
      <c r="IDL71" s="137" t="n">
        <v>218.95</v>
      </c>
      <c r="IDM71" s="30" t="n"/>
      <c r="IDN71" s="451" t="n"/>
      <c r="IDO71" s="34" t="n"/>
      <c r="IDP71" s="30" t="n"/>
      <c r="IDQ71" s="138">
        <f>+IDM71-IDO71-IDQ71</f>
        <v/>
      </c>
      <c r="IDR71" s="533" t="n"/>
      <c r="IDS71" s="515" t="inlineStr">
        <is>
          <t>SEGUROS</t>
        </is>
      </c>
      <c r="IDT71" s="534" t="inlineStr">
        <is>
          <t>RIMAC SEGUROS</t>
        </is>
      </c>
      <c r="IDU71" s="447" t="n"/>
      <c r="IDV71" s="529" t="n">
        <v>1086478942</v>
      </c>
      <c r="IDW71" s="518" t="n"/>
      <c r="IDX71" s="519" t="n"/>
      <c r="IDY71" s="519" t="n">
        <v>45341</v>
      </c>
      <c r="IEB71" s="137" t="n">
        <v>218.95</v>
      </c>
      <c r="IEC71" s="30" t="n"/>
      <c r="IED71" s="451" t="n"/>
      <c r="IEE71" s="34" t="n"/>
      <c r="IEF71" s="30" t="n"/>
      <c r="IEG71" s="138">
        <f>+IEC71-IEE71-IEG71</f>
        <v/>
      </c>
      <c r="IEH71" s="533" t="n"/>
      <c r="IEI71" s="515" t="inlineStr">
        <is>
          <t>SEGUROS</t>
        </is>
      </c>
      <c r="IEJ71" s="534" t="inlineStr">
        <is>
          <t>RIMAC SEGUROS</t>
        </is>
      </c>
      <c r="IEK71" s="447" t="n"/>
      <c r="IEL71" s="529" t="n">
        <v>1086478942</v>
      </c>
      <c r="IEM71" s="518" t="n"/>
      <c r="IEN71" s="519" t="n"/>
      <c r="IEO71" s="519" t="n">
        <v>45341</v>
      </c>
      <c r="IER71" s="137" t="n">
        <v>218.95</v>
      </c>
      <c r="IES71" s="30" t="n"/>
      <c r="IET71" s="451" t="n"/>
      <c r="IEU71" s="34" t="n"/>
      <c r="IEV71" s="30" t="n"/>
      <c r="IEW71" s="138">
        <f>+IES71-IEU71-IEW71</f>
        <v/>
      </c>
      <c r="IEX71" s="533" t="n"/>
      <c r="IEY71" s="515" t="inlineStr">
        <is>
          <t>SEGUROS</t>
        </is>
      </c>
      <c r="IEZ71" s="534" t="inlineStr">
        <is>
          <t>RIMAC SEGUROS</t>
        </is>
      </c>
      <c r="IFA71" s="447" t="n"/>
      <c r="IFB71" s="529" t="n">
        <v>1086478942</v>
      </c>
      <c r="IFC71" s="518" t="n"/>
      <c r="IFD71" s="519" t="n"/>
      <c r="IFE71" s="519" t="n">
        <v>45341</v>
      </c>
      <c r="IFH71" s="137" t="n">
        <v>218.95</v>
      </c>
      <c r="IFI71" s="30" t="n"/>
      <c r="IFJ71" s="451" t="n"/>
      <c r="IFK71" s="34" t="n"/>
      <c r="IFL71" s="30" t="n"/>
      <c r="IFM71" s="138">
        <f>+IFI71-IFK71-IFM71</f>
        <v/>
      </c>
      <c r="IFN71" s="533" t="n"/>
      <c r="IFO71" s="515" t="inlineStr">
        <is>
          <t>SEGUROS</t>
        </is>
      </c>
      <c r="IFP71" s="534" t="inlineStr">
        <is>
          <t>RIMAC SEGUROS</t>
        </is>
      </c>
      <c r="IFQ71" s="447" t="n"/>
      <c r="IFR71" s="529" t="n">
        <v>1086478942</v>
      </c>
      <c r="IFS71" s="518" t="n"/>
      <c r="IFT71" s="519" t="n"/>
      <c r="IFU71" s="519" t="n">
        <v>45341</v>
      </c>
      <c r="IFX71" s="137" t="n">
        <v>218.95</v>
      </c>
      <c r="IFY71" s="30" t="n"/>
      <c r="IFZ71" s="451" t="n"/>
      <c r="IGA71" s="34" t="n"/>
      <c r="IGB71" s="30" t="n"/>
      <c r="IGC71" s="138">
        <f>+IFY71-IGA71-IGC71</f>
        <v/>
      </c>
      <c r="IGD71" s="533" t="n"/>
      <c r="IGE71" s="515" t="inlineStr">
        <is>
          <t>SEGUROS</t>
        </is>
      </c>
      <c r="IGF71" s="534" t="inlineStr">
        <is>
          <t>RIMAC SEGUROS</t>
        </is>
      </c>
      <c r="IGG71" s="447" t="n"/>
      <c r="IGH71" s="529" t="n">
        <v>1086478942</v>
      </c>
      <c r="IGI71" s="518" t="n"/>
      <c r="IGJ71" s="519" t="n"/>
      <c r="IGK71" s="519" t="n">
        <v>45341</v>
      </c>
      <c r="IGN71" s="137" t="n">
        <v>218.95</v>
      </c>
      <c r="IGO71" s="30" t="n"/>
      <c r="IGP71" s="451" t="n"/>
      <c r="IGQ71" s="34" t="n"/>
      <c r="IGR71" s="30" t="n"/>
      <c r="IGS71" s="138">
        <f>+IGO71-IGQ71-IGS71</f>
        <v/>
      </c>
      <c r="IGT71" s="533" t="n"/>
      <c r="IGU71" s="515" t="inlineStr">
        <is>
          <t>SEGUROS</t>
        </is>
      </c>
      <c r="IGV71" s="534" t="inlineStr">
        <is>
          <t>RIMAC SEGUROS</t>
        </is>
      </c>
      <c r="IGW71" s="447" t="n"/>
      <c r="IGX71" s="529" t="n">
        <v>1086478942</v>
      </c>
      <c r="IGY71" s="518" t="n"/>
      <c r="IGZ71" s="519" t="n"/>
      <c r="IHA71" s="519" t="n">
        <v>45341</v>
      </c>
      <c r="IHD71" s="137" t="n">
        <v>218.95</v>
      </c>
      <c r="IHE71" s="30" t="n"/>
      <c r="IHF71" s="451" t="n"/>
      <c r="IHG71" s="34" t="n"/>
      <c r="IHH71" s="30" t="n"/>
      <c r="IHI71" s="138">
        <f>+IHE71-IHG71-IHI71</f>
        <v/>
      </c>
      <c r="IHJ71" s="533" t="n"/>
      <c r="IHK71" s="515" t="inlineStr">
        <is>
          <t>SEGUROS</t>
        </is>
      </c>
      <c r="IHL71" s="534" t="inlineStr">
        <is>
          <t>RIMAC SEGUROS</t>
        </is>
      </c>
      <c r="IHM71" s="447" t="n"/>
      <c r="IHN71" s="529" t="n">
        <v>1086478942</v>
      </c>
      <c r="IHO71" s="518" t="n"/>
      <c r="IHP71" s="519" t="n"/>
      <c r="IHQ71" s="519" t="n">
        <v>45341</v>
      </c>
      <c r="IHT71" s="137" t="n">
        <v>218.95</v>
      </c>
      <c r="IHU71" s="30" t="n"/>
      <c r="IHV71" s="451" t="n"/>
      <c r="IHW71" s="34" t="n"/>
      <c r="IHX71" s="30" t="n"/>
      <c r="IHY71" s="138">
        <f>+IHU71-IHW71-IHY71</f>
        <v/>
      </c>
      <c r="IHZ71" s="533" t="n"/>
      <c r="IIA71" s="515" t="inlineStr">
        <is>
          <t>SEGUROS</t>
        </is>
      </c>
      <c r="IIB71" s="534" t="inlineStr">
        <is>
          <t>RIMAC SEGUROS</t>
        </is>
      </c>
      <c r="IIC71" s="447" t="n"/>
      <c r="IID71" s="529" t="n">
        <v>1086478942</v>
      </c>
      <c r="IIE71" s="518" t="n"/>
      <c r="IIF71" s="519" t="n"/>
      <c r="IIG71" s="519" t="n">
        <v>45341</v>
      </c>
      <c r="IIJ71" s="137" t="n">
        <v>218.95</v>
      </c>
      <c r="IIK71" s="30" t="n"/>
      <c r="IIL71" s="451" t="n"/>
      <c r="IIM71" s="34" t="n"/>
      <c r="IIN71" s="30" t="n"/>
      <c r="IIO71" s="138">
        <f>+IIK71-IIM71-IIO71</f>
        <v/>
      </c>
      <c r="IIP71" s="533" t="n"/>
      <c r="IIQ71" s="515" t="inlineStr">
        <is>
          <t>SEGUROS</t>
        </is>
      </c>
      <c r="IIR71" s="534" t="inlineStr">
        <is>
          <t>RIMAC SEGUROS</t>
        </is>
      </c>
      <c r="IIS71" s="447" t="n"/>
      <c r="IIT71" s="529" t="n">
        <v>1086478942</v>
      </c>
      <c r="IIU71" s="518" t="n"/>
      <c r="IIV71" s="519" t="n"/>
      <c r="IIW71" s="519" t="n">
        <v>45341</v>
      </c>
      <c r="IIZ71" s="137" t="n">
        <v>218.95</v>
      </c>
      <c r="IJA71" s="30" t="n"/>
      <c r="IJB71" s="451" t="n"/>
      <c r="IJC71" s="34" t="n"/>
      <c r="IJD71" s="30" t="n"/>
      <c r="IJE71" s="138">
        <f>+IJA71-IJC71-IJE71</f>
        <v/>
      </c>
      <c r="IJF71" s="533" t="n"/>
      <c r="IJG71" s="515" t="inlineStr">
        <is>
          <t>SEGUROS</t>
        </is>
      </c>
      <c r="IJH71" s="534" t="inlineStr">
        <is>
          <t>RIMAC SEGUROS</t>
        </is>
      </c>
      <c r="IJI71" s="447" t="n"/>
      <c r="IJJ71" s="529" t="n">
        <v>1086478942</v>
      </c>
      <c r="IJK71" s="518" t="n"/>
      <c r="IJL71" s="519" t="n"/>
      <c r="IJM71" s="519" t="n">
        <v>45341</v>
      </c>
      <c r="IJP71" s="137" t="n">
        <v>218.95</v>
      </c>
      <c r="IJQ71" s="30" t="n"/>
      <c r="IJR71" s="451" t="n"/>
      <c r="IJS71" s="34" t="n"/>
      <c r="IJT71" s="30" t="n"/>
      <c r="IJU71" s="138">
        <f>+IJQ71-IJS71-IJU71</f>
        <v/>
      </c>
      <c r="IJV71" s="533" t="n"/>
      <c r="IJW71" s="515" t="inlineStr">
        <is>
          <t>SEGUROS</t>
        </is>
      </c>
      <c r="IJX71" s="534" t="inlineStr">
        <is>
          <t>RIMAC SEGUROS</t>
        </is>
      </c>
      <c r="IJY71" s="447" t="n"/>
      <c r="IJZ71" s="529" t="n">
        <v>1086478942</v>
      </c>
      <c r="IKA71" s="518" t="n"/>
      <c r="IKB71" s="519" t="n"/>
      <c r="IKC71" s="519" t="n">
        <v>45341</v>
      </c>
      <c r="IKF71" s="137" t="n">
        <v>218.95</v>
      </c>
      <c r="IKG71" s="30" t="n"/>
      <c r="IKH71" s="451" t="n"/>
      <c r="IKI71" s="34" t="n"/>
      <c r="IKJ71" s="30" t="n"/>
      <c r="IKK71" s="138">
        <f>+IKG71-IKI71-IKK71</f>
        <v/>
      </c>
      <c r="IKL71" s="533" t="n"/>
      <c r="IKM71" s="515" t="inlineStr">
        <is>
          <t>SEGUROS</t>
        </is>
      </c>
      <c r="IKN71" s="534" t="inlineStr">
        <is>
          <t>RIMAC SEGUROS</t>
        </is>
      </c>
      <c r="IKO71" s="447" t="n"/>
      <c r="IKP71" s="529" t="n">
        <v>1086478942</v>
      </c>
      <c r="IKQ71" s="518" t="n"/>
      <c r="IKR71" s="519" t="n"/>
      <c r="IKS71" s="519" t="n">
        <v>45341</v>
      </c>
      <c r="IKV71" s="137" t="n">
        <v>218.95</v>
      </c>
      <c r="IKW71" s="30" t="n"/>
      <c r="IKX71" s="451" t="n"/>
      <c r="IKY71" s="34" t="n"/>
      <c r="IKZ71" s="30" t="n"/>
      <c r="ILA71" s="138">
        <f>+IKW71-IKY71-ILA71</f>
        <v/>
      </c>
      <c r="ILB71" s="533" t="n"/>
      <c r="ILC71" s="515" t="inlineStr">
        <is>
          <t>SEGUROS</t>
        </is>
      </c>
      <c r="ILD71" s="534" t="inlineStr">
        <is>
          <t>RIMAC SEGUROS</t>
        </is>
      </c>
      <c r="ILE71" s="447" t="n"/>
      <c r="ILF71" s="529" t="n">
        <v>1086478942</v>
      </c>
      <c r="ILG71" s="518" t="n"/>
      <c r="ILH71" s="519" t="n"/>
      <c r="ILI71" s="519" t="n">
        <v>45341</v>
      </c>
      <c r="ILL71" s="137" t="n">
        <v>218.95</v>
      </c>
      <c r="ILM71" s="30" t="n"/>
      <c r="ILN71" s="451" t="n"/>
      <c r="ILO71" s="34" t="n"/>
      <c r="ILP71" s="30" t="n"/>
      <c r="ILQ71" s="138">
        <f>+ILM71-ILO71-ILQ71</f>
        <v/>
      </c>
      <c r="ILR71" s="533" t="n"/>
      <c r="ILS71" s="515" t="inlineStr">
        <is>
          <t>SEGUROS</t>
        </is>
      </c>
      <c r="ILT71" s="534" t="inlineStr">
        <is>
          <t>RIMAC SEGUROS</t>
        </is>
      </c>
      <c r="ILU71" s="447" t="n"/>
      <c r="ILV71" s="529" t="n">
        <v>1086478942</v>
      </c>
      <c r="ILW71" s="518" t="n"/>
      <c r="ILX71" s="519" t="n"/>
      <c r="ILY71" s="519" t="n">
        <v>45341</v>
      </c>
      <c r="IMB71" s="137" t="n">
        <v>218.95</v>
      </c>
      <c r="IMC71" s="30" t="n"/>
      <c r="IMD71" s="451" t="n"/>
      <c r="IME71" s="34" t="n"/>
      <c r="IMF71" s="30" t="n"/>
      <c r="IMG71" s="138">
        <f>+IMC71-IME71-IMG71</f>
        <v/>
      </c>
      <c r="IMH71" s="533" t="n"/>
      <c r="IMI71" s="515" t="inlineStr">
        <is>
          <t>SEGUROS</t>
        </is>
      </c>
      <c r="IMJ71" s="534" t="inlineStr">
        <is>
          <t>RIMAC SEGUROS</t>
        </is>
      </c>
      <c r="IMK71" s="447" t="n"/>
      <c r="IML71" s="529" t="n">
        <v>1086478942</v>
      </c>
      <c r="IMM71" s="518" t="n"/>
      <c r="IMN71" s="519" t="n"/>
      <c r="IMO71" s="519" t="n">
        <v>45341</v>
      </c>
      <c r="IMR71" s="137" t="n">
        <v>218.95</v>
      </c>
      <c r="IMS71" s="30" t="n"/>
      <c r="IMT71" s="451" t="n"/>
      <c r="IMU71" s="34" t="n"/>
      <c r="IMV71" s="30" t="n"/>
      <c r="IMW71" s="138">
        <f>+IMS71-IMU71-IMW71</f>
        <v/>
      </c>
      <c r="IMX71" s="533" t="n"/>
      <c r="IMY71" s="515" t="inlineStr">
        <is>
          <t>SEGUROS</t>
        </is>
      </c>
      <c r="IMZ71" s="534" t="inlineStr">
        <is>
          <t>RIMAC SEGUROS</t>
        </is>
      </c>
      <c r="INA71" s="447" t="n"/>
      <c r="INB71" s="529" t="n">
        <v>1086478942</v>
      </c>
      <c r="INC71" s="518" t="n"/>
      <c r="IND71" s="519" t="n"/>
      <c r="INE71" s="519" t="n">
        <v>45341</v>
      </c>
      <c r="INH71" s="137" t="n">
        <v>218.95</v>
      </c>
      <c r="INI71" s="30" t="n"/>
      <c r="INJ71" s="451" t="n"/>
      <c r="INK71" s="34" t="n"/>
      <c r="INL71" s="30" t="n"/>
      <c r="INM71" s="138">
        <f>+INI71-INK71-INM71</f>
        <v/>
      </c>
      <c r="INN71" s="533" t="n"/>
      <c r="INO71" s="515" t="inlineStr">
        <is>
          <t>SEGUROS</t>
        </is>
      </c>
      <c r="INP71" s="534" t="inlineStr">
        <is>
          <t>RIMAC SEGUROS</t>
        </is>
      </c>
      <c r="INQ71" s="447" t="n"/>
      <c r="INR71" s="529" t="n">
        <v>1086478942</v>
      </c>
      <c r="INS71" s="518" t="n"/>
      <c r="INT71" s="519" t="n"/>
      <c r="INU71" s="519" t="n">
        <v>45341</v>
      </c>
      <c r="INX71" s="137" t="n">
        <v>218.95</v>
      </c>
      <c r="INY71" s="30" t="n"/>
      <c r="INZ71" s="451" t="n"/>
      <c r="IOA71" s="34" t="n"/>
      <c r="IOB71" s="30" t="n"/>
      <c r="IOC71" s="138">
        <f>+INY71-IOA71-IOC71</f>
        <v/>
      </c>
      <c r="IOD71" s="533" t="n"/>
      <c r="IOE71" s="515" t="inlineStr">
        <is>
          <t>SEGUROS</t>
        </is>
      </c>
      <c r="IOF71" s="534" t="inlineStr">
        <is>
          <t>RIMAC SEGUROS</t>
        </is>
      </c>
      <c r="IOG71" s="447" t="n"/>
      <c r="IOH71" s="529" t="n">
        <v>1086478942</v>
      </c>
      <c r="IOI71" s="518" t="n"/>
      <c r="IOJ71" s="519" t="n"/>
      <c r="IOK71" s="519" t="n">
        <v>45341</v>
      </c>
      <c r="ION71" s="137" t="n">
        <v>218.95</v>
      </c>
      <c r="IOO71" s="30" t="n"/>
      <c r="IOP71" s="451" t="n"/>
      <c r="IOQ71" s="34" t="n"/>
      <c r="IOR71" s="30" t="n"/>
      <c r="IOS71" s="138">
        <f>+IOO71-IOQ71-IOS71</f>
        <v/>
      </c>
      <c r="IOT71" s="533" t="n"/>
      <c r="IOU71" s="515" t="inlineStr">
        <is>
          <t>SEGUROS</t>
        </is>
      </c>
      <c r="IOV71" s="534" t="inlineStr">
        <is>
          <t>RIMAC SEGUROS</t>
        </is>
      </c>
      <c r="IOW71" s="447" t="n"/>
      <c r="IOX71" s="529" t="n">
        <v>1086478942</v>
      </c>
      <c r="IOY71" s="518" t="n"/>
      <c r="IOZ71" s="519" t="n"/>
      <c r="IPA71" s="519" t="n">
        <v>45341</v>
      </c>
      <c r="IPD71" s="137" t="n">
        <v>218.95</v>
      </c>
      <c r="IPE71" s="30" t="n"/>
      <c r="IPF71" s="451" t="n"/>
      <c r="IPG71" s="34" t="n"/>
      <c r="IPH71" s="30" t="n"/>
      <c r="IPI71" s="138">
        <f>+IPE71-IPG71-IPI71</f>
        <v/>
      </c>
      <c r="IPJ71" s="533" t="n"/>
      <c r="IPK71" s="515" t="inlineStr">
        <is>
          <t>SEGUROS</t>
        </is>
      </c>
      <c r="IPL71" s="534" t="inlineStr">
        <is>
          <t>RIMAC SEGUROS</t>
        </is>
      </c>
      <c r="IPM71" s="447" t="n"/>
      <c r="IPN71" s="529" t="n">
        <v>1086478942</v>
      </c>
      <c r="IPO71" s="518" t="n"/>
      <c r="IPP71" s="519" t="n"/>
      <c r="IPQ71" s="519" t="n">
        <v>45341</v>
      </c>
      <c r="IPT71" s="137" t="n">
        <v>218.95</v>
      </c>
      <c r="IPU71" s="30" t="n"/>
      <c r="IPV71" s="451" t="n"/>
      <c r="IPW71" s="34" t="n"/>
      <c r="IPX71" s="30" t="n"/>
      <c r="IPY71" s="138">
        <f>+IPU71-IPW71-IPY71</f>
        <v/>
      </c>
      <c r="IPZ71" s="533" t="n"/>
      <c r="IQA71" s="515" t="inlineStr">
        <is>
          <t>SEGUROS</t>
        </is>
      </c>
      <c r="IQB71" s="534" t="inlineStr">
        <is>
          <t>RIMAC SEGUROS</t>
        </is>
      </c>
      <c r="IQC71" s="447" t="n"/>
      <c r="IQD71" s="529" t="n">
        <v>1086478942</v>
      </c>
      <c r="IQE71" s="518" t="n"/>
      <c r="IQF71" s="519" t="n"/>
      <c r="IQG71" s="519" t="n">
        <v>45341</v>
      </c>
      <c r="IQJ71" s="137" t="n">
        <v>218.95</v>
      </c>
      <c r="IQK71" s="30" t="n"/>
      <c r="IQL71" s="451" t="n"/>
      <c r="IQM71" s="34" t="n"/>
      <c r="IQN71" s="30" t="n"/>
      <c r="IQO71" s="138">
        <f>+IQK71-IQM71-IQO71</f>
        <v/>
      </c>
      <c r="IQP71" s="533" t="n"/>
      <c r="IQQ71" s="515" t="inlineStr">
        <is>
          <t>SEGUROS</t>
        </is>
      </c>
      <c r="IQR71" s="534" t="inlineStr">
        <is>
          <t>RIMAC SEGUROS</t>
        </is>
      </c>
      <c r="IQS71" s="447" t="n"/>
      <c r="IQT71" s="529" t="n">
        <v>1086478942</v>
      </c>
      <c r="IQU71" s="518" t="n"/>
      <c r="IQV71" s="519" t="n"/>
      <c r="IQW71" s="519" t="n">
        <v>45341</v>
      </c>
      <c r="IQZ71" s="137" t="n">
        <v>218.95</v>
      </c>
      <c r="IRA71" s="30" t="n"/>
      <c r="IRB71" s="451" t="n"/>
      <c r="IRC71" s="34" t="n"/>
      <c r="IRD71" s="30" t="n"/>
      <c r="IRE71" s="138">
        <f>+IRA71-IRC71-IRE71</f>
        <v/>
      </c>
      <c r="IRF71" s="533" t="n"/>
      <c r="IRG71" s="515" t="inlineStr">
        <is>
          <t>SEGUROS</t>
        </is>
      </c>
      <c r="IRH71" s="534" t="inlineStr">
        <is>
          <t>RIMAC SEGUROS</t>
        </is>
      </c>
      <c r="IRI71" s="447" t="n"/>
      <c r="IRJ71" s="529" t="n">
        <v>1086478942</v>
      </c>
      <c r="IRK71" s="518" t="n"/>
      <c r="IRL71" s="519" t="n"/>
      <c r="IRM71" s="519" t="n">
        <v>45341</v>
      </c>
      <c r="IRP71" s="137" t="n">
        <v>218.95</v>
      </c>
      <c r="IRQ71" s="30" t="n"/>
      <c r="IRR71" s="451" t="n"/>
      <c r="IRS71" s="34" t="n"/>
      <c r="IRT71" s="30" t="n"/>
      <c r="IRU71" s="138">
        <f>+IRQ71-IRS71-IRU71</f>
        <v/>
      </c>
      <c r="IRV71" s="533" t="n"/>
      <c r="IRW71" s="515" t="inlineStr">
        <is>
          <t>SEGUROS</t>
        </is>
      </c>
      <c r="IRX71" s="534" t="inlineStr">
        <is>
          <t>RIMAC SEGUROS</t>
        </is>
      </c>
      <c r="IRY71" s="447" t="n"/>
      <c r="IRZ71" s="529" t="n">
        <v>1086478942</v>
      </c>
      <c r="ISA71" s="518" t="n"/>
      <c r="ISB71" s="519" t="n"/>
      <c r="ISC71" s="519" t="n">
        <v>45341</v>
      </c>
      <c r="ISF71" s="137" t="n">
        <v>218.95</v>
      </c>
      <c r="ISG71" s="30" t="n"/>
      <c r="ISH71" s="451" t="n"/>
      <c r="ISI71" s="34" t="n"/>
      <c r="ISJ71" s="30" t="n"/>
      <c r="ISK71" s="138">
        <f>+ISG71-ISI71-ISK71</f>
        <v/>
      </c>
      <c r="ISL71" s="533" t="n"/>
      <c r="ISM71" s="515" t="inlineStr">
        <is>
          <t>SEGUROS</t>
        </is>
      </c>
      <c r="ISN71" s="534" t="inlineStr">
        <is>
          <t>RIMAC SEGUROS</t>
        </is>
      </c>
      <c r="ISO71" s="447" t="n"/>
      <c r="ISP71" s="529" t="n">
        <v>1086478942</v>
      </c>
      <c r="ISQ71" s="518" t="n"/>
      <c r="ISR71" s="519" t="n"/>
      <c r="ISS71" s="519" t="n">
        <v>45341</v>
      </c>
      <c r="ISV71" s="137" t="n">
        <v>218.95</v>
      </c>
      <c r="ISW71" s="30" t="n"/>
      <c r="ISX71" s="451" t="n"/>
      <c r="ISY71" s="34" t="n"/>
      <c r="ISZ71" s="30" t="n"/>
      <c r="ITA71" s="138">
        <f>+ISW71-ISY71-ITA71</f>
        <v/>
      </c>
      <c r="ITB71" s="533" t="n"/>
      <c r="ITC71" s="515" t="inlineStr">
        <is>
          <t>SEGUROS</t>
        </is>
      </c>
      <c r="ITD71" s="534" t="inlineStr">
        <is>
          <t>RIMAC SEGUROS</t>
        </is>
      </c>
      <c r="ITE71" s="447" t="n"/>
      <c r="ITF71" s="529" t="n">
        <v>1086478942</v>
      </c>
      <c r="ITG71" s="518" t="n"/>
      <c r="ITH71" s="519" t="n"/>
      <c r="ITI71" s="519" t="n">
        <v>45341</v>
      </c>
      <c r="ITL71" s="137" t="n">
        <v>218.95</v>
      </c>
      <c r="ITM71" s="30" t="n"/>
      <c r="ITN71" s="451" t="n"/>
      <c r="ITO71" s="34" t="n"/>
      <c r="ITP71" s="30" t="n"/>
      <c r="ITQ71" s="138">
        <f>+ITM71-ITO71-ITQ71</f>
        <v/>
      </c>
      <c r="ITR71" s="533" t="n"/>
      <c r="ITS71" s="515" t="inlineStr">
        <is>
          <t>SEGUROS</t>
        </is>
      </c>
      <c r="ITT71" s="534" t="inlineStr">
        <is>
          <t>RIMAC SEGUROS</t>
        </is>
      </c>
      <c r="ITU71" s="447" t="n"/>
      <c r="ITV71" s="529" t="n">
        <v>1086478942</v>
      </c>
      <c r="ITW71" s="518" t="n"/>
      <c r="ITX71" s="519" t="n"/>
      <c r="ITY71" s="519" t="n">
        <v>45341</v>
      </c>
      <c r="IUB71" s="137" t="n">
        <v>218.95</v>
      </c>
      <c r="IUC71" s="30" t="n"/>
      <c r="IUD71" s="451" t="n"/>
      <c r="IUE71" s="34" t="n"/>
      <c r="IUF71" s="30" t="n"/>
      <c r="IUG71" s="138">
        <f>+IUC71-IUE71-IUG71</f>
        <v/>
      </c>
      <c r="IUH71" s="533" t="n"/>
      <c r="IUI71" s="515" t="inlineStr">
        <is>
          <t>SEGUROS</t>
        </is>
      </c>
      <c r="IUJ71" s="534" t="inlineStr">
        <is>
          <t>RIMAC SEGUROS</t>
        </is>
      </c>
      <c r="IUK71" s="447" t="n"/>
      <c r="IUL71" s="529" t="n">
        <v>1086478942</v>
      </c>
      <c r="IUM71" s="518" t="n"/>
      <c r="IUN71" s="519" t="n"/>
      <c r="IUO71" s="519" t="n">
        <v>45341</v>
      </c>
      <c r="IUR71" s="137" t="n">
        <v>218.95</v>
      </c>
      <c r="IUS71" s="30" t="n"/>
      <c r="IUT71" s="451" t="n"/>
      <c r="IUU71" s="34" t="n"/>
      <c r="IUV71" s="30" t="n"/>
      <c r="IUW71" s="138">
        <f>+IUS71-IUU71-IUW71</f>
        <v/>
      </c>
      <c r="IUX71" s="533" t="n"/>
      <c r="IUY71" s="515" t="inlineStr">
        <is>
          <t>SEGUROS</t>
        </is>
      </c>
      <c r="IUZ71" s="534" t="inlineStr">
        <is>
          <t>RIMAC SEGUROS</t>
        </is>
      </c>
      <c r="IVA71" s="447" t="n"/>
      <c r="IVB71" s="529" t="n">
        <v>1086478942</v>
      </c>
      <c r="IVC71" s="518" t="n"/>
      <c r="IVD71" s="519" t="n"/>
      <c r="IVE71" s="519" t="n">
        <v>45341</v>
      </c>
      <c r="IVH71" s="137" t="n">
        <v>218.95</v>
      </c>
      <c r="IVI71" s="30" t="n"/>
      <c r="IVJ71" s="451" t="n"/>
      <c r="IVK71" s="34" t="n"/>
      <c r="IVL71" s="30" t="n"/>
      <c r="IVM71" s="138">
        <f>+IVI71-IVK71-IVM71</f>
        <v/>
      </c>
      <c r="IVN71" s="533" t="n"/>
      <c r="IVO71" s="515" t="inlineStr">
        <is>
          <t>SEGUROS</t>
        </is>
      </c>
      <c r="IVP71" s="534" t="inlineStr">
        <is>
          <t>RIMAC SEGUROS</t>
        </is>
      </c>
      <c r="IVQ71" s="447" t="n"/>
      <c r="IVR71" s="529" t="n">
        <v>1086478942</v>
      </c>
      <c r="IVS71" s="518" t="n"/>
      <c r="IVT71" s="519" t="n"/>
      <c r="IVU71" s="519" t="n">
        <v>45341</v>
      </c>
      <c r="IVX71" s="137" t="n">
        <v>218.95</v>
      </c>
      <c r="IVY71" s="30" t="n"/>
      <c r="IVZ71" s="451" t="n"/>
      <c r="IWA71" s="34" t="n"/>
      <c r="IWB71" s="30" t="n"/>
      <c r="IWC71" s="138">
        <f>+IVY71-IWA71-IWC71</f>
        <v/>
      </c>
      <c r="IWD71" s="533" t="n"/>
      <c r="IWE71" s="515" t="inlineStr">
        <is>
          <t>SEGUROS</t>
        </is>
      </c>
      <c r="IWF71" s="534" t="inlineStr">
        <is>
          <t>RIMAC SEGUROS</t>
        </is>
      </c>
      <c r="IWG71" s="447" t="n"/>
      <c r="IWH71" s="529" t="n">
        <v>1086478942</v>
      </c>
      <c r="IWI71" s="518" t="n"/>
      <c r="IWJ71" s="519" t="n"/>
      <c r="IWK71" s="519" t="n">
        <v>45341</v>
      </c>
      <c r="IWN71" s="137" t="n">
        <v>218.95</v>
      </c>
      <c r="IWO71" s="30" t="n"/>
      <c r="IWP71" s="451" t="n"/>
      <c r="IWQ71" s="34" t="n"/>
      <c r="IWR71" s="30" t="n"/>
      <c r="IWS71" s="138">
        <f>+IWO71-IWQ71-IWS71</f>
        <v/>
      </c>
      <c r="IWT71" s="533" t="n"/>
      <c r="IWU71" s="515" t="inlineStr">
        <is>
          <t>SEGUROS</t>
        </is>
      </c>
      <c r="IWV71" s="534" t="inlineStr">
        <is>
          <t>RIMAC SEGUROS</t>
        </is>
      </c>
      <c r="IWW71" s="447" t="n"/>
      <c r="IWX71" s="529" t="n">
        <v>1086478942</v>
      </c>
      <c r="IWY71" s="518" t="n"/>
      <c r="IWZ71" s="519" t="n"/>
      <c r="IXA71" s="519" t="n">
        <v>45341</v>
      </c>
      <c r="IXD71" s="137" t="n">
        <v>218.95</v>
      </c>
      <c r="IXE71" s="30" t="n"/>
      <c r="IXF71" s="451" t="n"/>
      <c r="IXG71" s="34" t="n"/>
      <c r="IXH71" s="30" t="n"/>
      <c r="IXI71" s="138">
        <f>+IXE71-IXG71-IXI71</f>
        <v/>
      </c>
      <c r="IXJ71" s="533" t="n"/>
      <c r="IXK71" s="515" t="inlineStr">
        <is>
          <t>SEGUROS</t>
        </is>
      </c>
      <c r="IXL71" s="534" t="inlineStr">
        <is>
          <t>RIMAC SEGUROS</t>
        </is>
      </c>
      <c r="IXM71" s="447" t="n"/>
      <c r="IXN71" s="529" t="n">
        <v>1086478942</v>
      </c>
      <c r="IXO71" s="518" t="n"/>
      <c r="IXP71" s="519" t="n"/>
      <c r="IXQ71" s="519" t="n">
        <v>45341</v>
      </c>
      <c r="IXT71" s="137" t="n">
        <v>218.95</v>
      </c>
      <c r="IXU71" s="30" t="n"/>
      <c r="IXV71" s="451" t="n"/>
      <c r="IXW71" s="34" t="n"/>
      <c r="IXX71" s="30" t="n"/>
      <c r="IXY71" s="138">
        <f>+IXU71-IXW71-IXY71</f>
        <v/>
      </c>
      <c r="IXZ71" s="533" t="n"/>
      <c r="IYA71" s="515" t="inlineStr">
        <is>
          <t>SEGUROS</t>
        </is>
      </c>
      <c r="IYB71" s="534" t="inlineStr">
        <is>
          <t>RIMAC SEGUROS</t>
        </is>
      </c>
      <c r="IYC71" s="447" t="n"/>
      <c r="IYD71" s="529" t="n">
        <v>1086478942</v>
      </c>
      <c r="IYE71" s="518" t="n"/>
      <c r="IYF71" s="519" t="n"/>
      <c r="IYG71" s="519" t="n">
        <v>45341</v>
      </c>
      <c r="IYJ71" s="137" t="n">
        <v>218.95</v>
      </c>
      <c r="IYK71" s="30" t="n"/>
      <c r="IYL71" s="451" t="n"/>
      <c r="IYM71" s="34" t="n"/>
      <c r="IYN71" s="30" t="n"/>
      <c r="IYO71" s="138">
        <f>+IYK71-IYM71-IYO71</f>
        <v/>
      </c>
      <c r="IYP71" s="533" t="n"/>
      <c r="IYQ71" s="515" t="inlineStr">
        <is>
          <t>SEGUROS</t>
        </is>
      </c>
      <c r="IYR71" s="534" t="inlineStr">
        <is>
          <t>RIMAC SEGUROS</t>
        </is>
      </c>
      <c r="IYS71" s="447" t="n"/>
      <c r="IYT71" s="529" t="n">
        <v>1086478942</v>
      </c>
      <c r="IYU71" s="518" t="n"/>
      <c r="IYV71" s="519" t="n"/>
      <c r="IYW71" s="519" t="n">
        <v>45341</v>
      </c>
      <c r="IYZ71" s="137" t="n">
        <v>218.95</v>
      </c>
      <c r="IZA71" s="30" t="n"/>
      <c r="IZB71" s="451" t="n"/>
      <c r="IZC71" s="34" t="n"/>
      <c r="IZD71" s="30" t="n"/>
      <c r="IZE71" s="138">
        <f>+IZA71-IZC71-IZE71</f>
        <v/>
      </c>
      <c r="IZF71" s="533" t="n"/>
      <c r="IZG71" s="515" t="inlineStr">
        <is>
          <t>SEGUROS</t>
        </is>
      </c>
      <c r="IZH71" s="534" t="inlineStr">
        <is>
          <t>RIMAC SEGUROS</t>
        </is>
      </c>
      <c r="IZI71" s="447" t="n"/>
      <c r="IZJ71" s="529" t="n">
        <v>1086478942</v>
      </c>
      <c r="IZK71" s="518" t="n"/>
      <c r="IZL71" s="519" t="n"/>
      <c r="IZM71" s="519" t="n">
        <v>45341</v>
      </c>
      <c r="IZP71" s="137" t="n">
        <v>218.95</v>
      </c>
      <c r="IZQ71" s="30" t="n"/>
      <c r="IZR71" s="451" t="n"/>
      <c r="IZS71" s="34" t="n"/>
      <c r="IZT71" s="30" t="n"/>
      <c r="IZU71" s="138">
        <f>+IZQ71-IZS71-IZU71</f>
        <v/>
      </c>
      <c r="IZV71" s="533" t="n"/>
      <c r="IZW71" s="515" t="inlineStr">
        <is>
          <t>SEGUROS</t>
        </is>
      </c>
      <c r="IZX71" s="534" t="inlineStr">
        <is>
          <t>RIMAC SEGUROS</t>
        </is>
      </c>
      <c r="IZY71" s="447" t="n"/>
      <c r="IZZ71" s="529" t="n">
        <v>1086478942</v>
      </c>
      <c r="JAA71" s="518" t="n"/>
      <c r="JAB71" s="519" t="n"/>
      <c r="JAC71" s="519" t="n">
        <v>45341</v>
      </c>
      <c r="JAF71" s="137" t="n">
        <v>218.95</v>
      </c>
      <c r="JAG71" s="30" t="n"/>
      <c r="JAH71" s="451" t="n"/>
      <c r="JAI71" s="34" t="n"/>
      <c r="JAJ71" s="30" t="n"/>
      <c r="JAK71" s="138">
        <f>+JAG71-JAI71-JAK71</f>
        <v/>
      </c>
      <c r="JAL71" s="533" t="n"/>
      <c r="JAM71" s="515" t="inlineStr">
        <is>
          <t>SEGUROS</t>
        </is>
      </c>
      <c r="JAN71" s="534" t="inlineStr">
        <is>
          <t>RIMAC SEGUROS</t>
        </is>
      </c>
      <c r="JAO71" s="447" t="n"/>
      <c r="JAP71" s="529" t="n">
        <v>1086478942</v>
      </c>
      <c r="JAQ71" s="518" t="n"/>
      <c r="JAR71" s="519" t="n"/>
      <c r="JAS71" s="519" t="n">
        <v>45341</v>
      </c>
      <c r="JAV71" s="137" t="n">
        <v>218.95</v>
      </c>
      <c r="JAW71" s="30" t="n"/>
      <c r="JAX71" s="451" t="n"/>
      <c r="JAY71" s="34" t="n"/>
      <c r="JAZ71" s="30" t="n"/>
      <c r="JBA71" s="138">
        <f>+JAW71-JAY71-JBA71</f>
        <v/>
      </c>
      <c r="JBB71" s="533" t="n"/>
      <c r="JBC71" s="515" t="inlineStr">
        <is>
          <t>SEGUROS</t>
        </is>
      </c>
      <c r="JBD71" s="534" t="inlineStr">
        <is>
          <t>RIMAC SEGUROS</t>
        </is>
      </c>
      <c r="JBE71" s="447" t="n"/>
      <c r="JBF71" s="529" t="n">
        <v>1086478942</v>
      </c>
      <c r="JBG71" s="518" t="n"/>
      <c r="JBH71" s="519" t="n"/>
      <c r="JBI71" s="519" t="n">
        <v>45341</v>
      </c>
      <c r="JBL71" s="137" t="n">
        <v>218.95</v>
      </c>
      <c r="JBM71" s="30" t="n"/>
      <c r="JBN71" s="451" t="n"/>
      <c r="JBO71" s="34" t="n"/>
      <c r="JBP71" s="30" t="n"/>
      <c r="JBQ71" s="138">
        <f>+JBM71-JBO71-JBQ71</f>
        <v/>
      </c>
      <c r="JBR71" s="533" t="n"/>
      <c r="JBS71" s="515" t="inlineStr">
        <is>
          <t>SEGUROS</t>
        </is>
      </c>
      <c r="JBT71" s="534" t="inlineStr">
        <is>
          <t>RIMAC SEGUROS</t>
        </is>
      </c>
      <c r="JBU71" s="447" t="n"/>
      <c r="JBV71" s="529" t="n">
        <v>1086478942</v>
      </c>
      <c r="JBW71" s="518" t="n"/>
      <c r="JBX71" s="519" t="n"/>
      <c r="JBY71" s="519" t="n">
        <v>45341</v>
      </c>
      <c r="JCB71" s="137" t="n">
        <v>218.95</v>
      </c>
      <c r="JCC71" s="30" t="n"/>
      <c r="JCD71" s="451" t="n"/>
      <c r="JCE71" s="34" t="n"/>
      <c r="JCF71" s="30" t="n"/>
      <c r="JCG71" s="138">
        <f>+JCC71-JCE71-JCG71</f>
        <v/>
      </c>
      <c r="JCH71" s="533" t="n"/>
      <c r="JCI71" s="515" t="inlineStr">
        <is>
          <t>SEGUROS</t>
        </is>
      </c>
      <c r="JCJ71" s="534" t="inlineStr">
        <is>
          <t>RIMAC SEGUROS</t>
        </is>
      </c>
      <c r="JCK71" s="447" t="n"/>
      <c r="JCL71" s="529" t="n">
        <v>1086478942</v>
      </c>
      <c r="JCM71" s="518" t="n"/>
      <c r="JCN71" s="519" t="n"/>
      <c r="JCO71" s="519" t="n">
        <v>45341</v>
      </c>
      <c r="JCR71" s="137" t="n">
        <v>218.95</v>
      </c>
      <c r="JCS71" s="30" t="n"/>
      <c r="JCT71" s="451" t="n"/>
      <c r="JCU71" s="34" t="n"/>
      <c r="JCV71" s="30" t="n"/>
      <c r="JCW71" s="138">
        <f>+JCS71-JCU71-JCW71</f>
        <v/>
      </c>
      <c r="JCX71" s="533" t="n"/>
      <c r="JCY71" s="515" t="inlineStr">
        <is>
          <t>SEGUROS</t>
        </is>
      </c>
      <c r="JCZ71" s="534" t="inlineStr">
        <is>
          <t>RIMAC SEGUROS</t>
        </is>
      </c>
      <c r="JDA71" s="447" t="n"/>
      <c r="JDB71" s="529" t="n">
        <v>1086478942</v>
      </c>
      <c r="JDC71" s="518" t="n"/>
      <c r="JDD71" s="519" t="n"/>
      <c r="JDE71" s="519" t="n">
        <v>45341</v>
      </c>
      <c r="JDH71" s="137" t="n">
        <v>218.95</v>
      </c>
      <c r="JDI71" s="30" t="n"/>
      <c r="JDJ71" s="451" t="n"/>
      <c r="JDK71" s="34" t="n"/>
      <c r="JDL71" s="30" t="n"/>
      <c r="JDM71" s="138">
        <f>+JDI71-JDK71-JDM71</f>
        <v/>
      </c>
      <c r="JDN71" s="533" t="n"/>
      <c r="JDO71" s="515" t="inlineStr">
        <is>
          <t>SEGUROS</t>
        </is>
      </c>
      <c r="JDP71" s="534" t="inlineStr">
        <is>
          <t>RIMAC SEGUROS</t>
        </is>
      </c>
      <c r="JDQ71" s="447" t="n"/>
      <c r="JDR71" s="529" t="n">
        <v>1086478942</v>
      </c>
      <c r="JDS71" s="518" t="n"/>
      <c r="JDT71" s="519" t="n"/>
      <c r="JDU71" s="519" t="n">
        <v>45341</v>
      </c>
      <c r="JDX71" s="137" t="n">
        <v>218.95</v>
      </c>
      <c r="JDY71" s="30" t="n"/>
      <c r="JDZ71" s="451" t="n"/>
      <c r="JEA71" s="34" t="n"/>
      <c r="JEB71" s="30" t="n"/>
      <c r="JEC71" s="138">
        <f>+JDY71-JEA71-JEC71</f>
        <v/>
      </c>
      <c r="JED71" s="533" t="n"/>
      <c r="JEE71" s="515" t="inlineStr">
        <is>
          <t>SEGUROS</t>
        </is>
      </c>
      <c r="JEF71" s="534" t="inlineStr">
        <is>
          <t>RIMAC SEGUROS</t>
        </is>
      </c>
      <c r="JEG71" s="447" t="n"/>
      <c r="JEH71" s="529" t="n">
        <v>1086478942</v>
      </c>
      <c r="JEI71" s="518" t="n"/>
      <c r="JEJ71" s="519" t="n"/>
      <c r="JEK71" s="519" t="n">
        <v>45341</v>
      </c>
      <c r="JEN71" s="137" t="n">
        <v>218.95</v>
      </c>
      <c r="JEO71" s="30" t="n"/>
      <c r="JEP71" s="451" t="n"/>
      <c r="JEQ71" s="34" t="n"/>
      <c r="JER71" s="30" t="n"/>
      <c r="JES71" s="138">
        <f>+JEO71-JEQ71-JES71</f>
        <v/>
      </c>
      <c r="JET71" s="533" t="n"/>
      <c r="JEU71" s="515" t="inlineStr">
        <is>
          <t>SEGUROS</t>
        </is>
      </c>
      <c r="JEV71" s="534" t="inlineStr">
        <is>
          <t>RIMAC SEGUROS</t>
        </is>
      </c>
      <c r="JEW71" s="447" t="n"/>
      <c r="JEX71" s="529" t="n">
        <v>1086478942</v>
      </c>
      <c r="JEY71" s="518" t="n"/>
      <c r="JEZ71" s="519" t="n"/>
      <c r="JFA71" s="519" t="n">
        <v>45341</v>
      </c>
      <c r="JFD71" s="137" t="n">
        <v>218.95</v>
      </c>
      <c r="JFE71" s="30" t="n"/>
      <c r="JFF71" s="451" t="n"/>
      <c r="JFG71" s="34" t="n"/>
      <c r="JFH71" s="30" t="n"/>
      <c r="JFI71" s="138">
        <f>+JFE71-JFG71-JFI71</f>
        <v/>
      </c>
      <c r="JFJ71" s="533" t="n"/>
      <c r="JFK71" s="515" t="inlineStr">
        <is>
          <t>SEGUROS</t>
        </is>
      </c>
      <c r="JFL71" s="534" t="inlineStr">
        <is>
          <t>RIMAC SEGUROS</t>
        </is>
      </c>
      <c r="JFM71" s="447" t="n"/>
      <c r="JFN71" s="529" t="n">
        <v>1086478942</v>
      </c>
      <c r="JFO71" s="518" t="n"/>
      <c r="JFP71" s="519" t="n"/>
      <c r="JFQ71" s="519" t="n">
        <v>45341</v>
      </c>
      <c r="JFT71" s="137" t="n">
        <v>218.95</v>
      </c>
      <c r="JFU71" s="30" t="n"/>
      <c r="JFV71" s="451" t="n"/>
      <c r="JFW71" s="34" t="n"/>
      <c r="JFX71" s="30" t="n"/>
      <c r="JFY71" s="138">
        <f>+JFU71-JFW71-JFY71</f>
        <v/>
      </c>
      <c r="JFZ71" s="533" t="n"/>
      <c r="JGA71" s="515" t="inlineStr">
        <is>
          <t>SEGUROS</t>
        </is>
      </c>
      <c r="JGB71" s="534" t="inlineStr">
        <is>
          <t>RIMAC SEGUROS</t>
        </is>
      </c>
      <c r="JGC71" s="447" t="n"/>
      <c r="JGD71" s="529" t="n">
        <v>1086478942</v>
      </c>
      <c r="JGE71" s="518" t="n"/>
      <c r="JGF71" s="519" t="n"/>
      <c r="JGG71" s="519" t="n">
        <v>45341</v>
      </c>
      <c r="JGJ71" s="137" t="n">
        <v>218.95</v>
      </c>
      <c r="JGK71" s="30" t="n"/>
      <c r="JGL71" s="451" t="n"/>
      <c r="JGM71" s="34" t="n"/>
      <c r="JGN71" s="30" t="n"/>
      <c r="JGO71" s="138">
        <f>+JGK71-JGM71-JGO71</f>
        <v/>
      </c>
      <c r="JGP71" s="533" t="n"/>
      <c r="JGQ71" s="515" t="inlineStr">
        <is>
          <t>SEGUROS</t>
        </is>
      </c>
      <c r="JGR71" s="534" t="inlineStr">
        <is>
          <t>RIMAC SEGUROS</t>
        </is>
      </c>
      <c r="JGS71" s="447" t="n"/>
      <c r="JGT71" s="529" t="n">
        <v>1086478942</v>
      </c>
      <c r="JGU71" s="518" t="n"/>
      <c r="JGV71" s="519" t="n"/>
      <c r="JGW71" s="519" t="n">
        <v>45341</v>
      </c>
      <c r="JGZ71" s="137" t="n">
        <v>218.95</v>
      </c>
      <c r="JHA71" s="30" t="n"/>
      <c r="JHB71" s="451" t="n"/>
      <c r="JHC71" s="34" t="n"/>
      <c r="JHD71" s="30" t="n"/>
      <c r="JHE71" s="138">
        <f>+JHA71-JHC71-JHE71</f>
        <v/>
      </c>
      <c r="JHF71" s="533" t="n"/>
      <c r="JHG71" s="515" t="inlineStr">
        <is>
          <t>SEGUROS</t>
        </is>
      </c>
      <c r="JHH71" s="534" t="inlineStr">
        <is>
          <t>RIMAC SEGUROS</t>
        </is>
      </c>
      <c r="JHI71" s="447" t="n"/>
      <c r="JHJ71" s="529" t="n">
        <v>1086478942</v>
      </c>
      <c r="JHK71" s="518" t="n"/>
      <c r="JHL71" s="519" t="n"/>
      <c r="JHM71" s="519" t="n">
        <v>45341</v>
      </c>
      <c r="JHP71" s="137" t="n">
        <v>218.95</v>
      </c>
      <c r="JHQ71" s="30" t="n"/>
      <c r="JHR71" s="451" t="n"/>
      <c r="JHS71" s="34" t="n"/>
      <c r="JHT71" s="30" t="n"/>
      <c r="JHU71" s="138">
        <f>+JHQ71-JHS71-JHU71</f>
        <v/>
      </c>
      <c r="JHV71" s="533" t="n"/>
      <c r="JHW71" s="515" t="inlineStr">
        <is>
          <t>SEGUROS</t>
        </is>
      </c>
      <c r="JHX71" s="534" t="inlineStr">
        <is>
          <t>RIMAC SEGUROS</t>
        </is>
      </c>
      <c r="JHY71" s="447" t="n"/>
      <c r="JHZ71" s="529" t="n">
        <v>1086478942</v>
      </c>
      <c r="JIA71" s="518" t="n"/>
      <c r="JIB71" s="519" t="n"/>
      <c r="JIC71" s="519" t="n">
        <v>45341</v>
      </c>
      <c r="JIF71" s="137" t="n">
        <v>218.95</v>
      </c>
      <c r="JIG71" s="30" t="n"/>
      <c r="JIH71" s="451" t="n"/>
      <c r="JII71" s="34" t="n"/>
      <c r="JIJ71" s="30" t="n"/>
      <c r="JIK71" s="138">
        <f>+JIG71-JII71-JIK71</f>
        <v/>
      </c>
      <c r="JIL71" s="533" t="n"/>
      <c r="JIM71" s="515" t="inlineStr">
        <is>
          <t>SEGUROS</t>
        </is>
      </c>
      <c r="JIN71" s="534" t="inlineStr">
        <is>
          <t>RIMAC SEGUROS</t>
        </is>
      </c>
      <c r="JIO71" s="447" t="n"/>
      <c r="JIP71" s="529" t="n">
        <v>1086478942</v>
      </c>
      <c r="JIQ71" s="518" t="n"/>
      <c r="JIR71" s="519" t="n"/>
      <c r="JIS71" s="519" t="n">
        <v>45341</v>
      </c>
      <c r="JIV71" s="137" t="n">
        <v>218.95</v>
      </c>
      <c r="JIW71" s="30" t="n"/>
      <c r="JIX71" s="451" t="n"/>
      <c r="JIY71" s="34" t="n"/>
      <c r="JIZ71" s="30" t="n"/>
      <c r="JJA71" s="138">
        <f>+JIW71-JIY71-JJA71</f>
        <v/>
      </c>
      <c r="JJB71" s="533" t="n"/>
      <c r="JJC71" s="515" t="inlineStr">
        <is>
          <t>SEGUROS</t>
        </is>
      </c>
      <c r="JJD71" s="534" t="inlineStr">
        <is>
          <t>RIMAC SEGUROS</t>
        </is>
      </c>
      <c r="JJE71" s="447" t="n"/>
      <c r="JJF71" s="529" t="n">
        <v>1086478942</v>
      </c>
      <c r="JJG71" s="518" t="n"/>
      <c r="JJH71" s="519" t="n"/>
      <c r="JJI71" s="519" t="n">
        <v>45341</v>
      </c>
      <c r="JJL71" s="137" t="n">
        <v>218.95</v>
      </c>
      <c r="JJM71" s="30" t="n"/>
      <c r="JJN71" s="451" t="n"/>
      <c r="JJO71" s="34" t="n"/>
      <c r="JJP71" s="30" t="n"/>
      <c r="JJQ71" s="138">
        <f>+JJM71-JJO71-JJQ71</f>
        <v/>
      </c>
      <c r="JJR71" s="533" t="n"/>
      <c r="JJS71" s="515" t="inlineStr">
        <is>
          <t>SEGUROS</t>
        </is>
      </c>
      <c r="JJT71" s="534" t="inlineStr">
        <is>
          <t>RIMAC SEGUROS</t>
        </is>
      </c>
      <c r="JJU71" s="447" t="n"/>
      <c r="JJV71" s="529" t="n">
        <v>1086478942</v>
      </c>
      <c r="JJW71" s="518" t="n"/>
      <c r="JJX71" s="519" t="n"/>
      <c r="JJY71" s="519" t="n">
        <v>45341</v>
      </c>
      <c r="JKB71" s="137" t="n">
        <v>218.95</v>
      </c>
      <c r="JKC71" s="30" t="n"/>
      <c r="JKD71" s="451" t="n"/>
      <c r="JKE71" s="34" t="n"/>
      <c r="JKF71" s="30" t="n"/>
      <c r="JKG71" s="138">
        <f>+JKC71-JKE71-JKG71</f>
        <v/>
      </c>
      <c r="JKH71" s="533" t="n"/>
      <c r="JKI71" s="515" t="inlineStr">
        <is>
          <t>SEGUROS</t>
        </is>
      </c>
      <c r="JKJ71" s="534" t="inlineStr">
        <is>
          <t>RIMAC SEGUROS</t>
        </is>
      </c>
      <c r="JKK71" s="447" t="n"/>
      <c r="JKL71" s="529" t="n">
        <v>1086478942</v>
      </c>
      <c r="JKM71" s="518" t="n"/>
      <c r="JKN71" s="519" t="n"/>
      <c r="JKO71" s="519" t="n">
        <v>45341</v>
      </c>
      <c r="JKR71" s="137" t="n">
        <v>218.95</v>
      </c>
      <c r="JKS71" s="30" t="n"/>
      <c r="JKT71" s="451" t="n"/>
      <c r="JKU71" s="34" t="n"/>
      <c r="JKV71" s="30" t="n"/>
      <c r="JKW71" s="138">
        <f>+JKS71-JKU71-JKW71</f>
        <v/>
      </c>
      <c r="JKX71" s="533" t="n"/>
      <c r="JKY71" s="515" t="inlineStr">
        <is>
          <t>SEGUROS</t>
        </is>
      </c>
      <c r="JKZ71" s="534" t="inlineStr">
        <is>
          <t>RIMAC SEGUROS</t>
        </is>
      </c>
      <c r="JLA71" s="447" t="n"/>
      <c r="JLB71" s="529" t="n">
        <v>1086478942</v>
      </c>
      <c r="JLC71" s="518" t="n"/>
      <c r="JLD71" s="519" t="n"/>
      <c r="JLE71" s="519" t="n">
        <v>45341</v>
      </c>
      <c r="JLH71" s="137" t="n">
        <v>218.95</v>
      </c>
      <c r="JLI71" s="30" t="n"/>
      <c r="JLJ71" s="451" t="n"/>
      <c r="JLK71" s="34" t="n"/>
      <c r="JLL71" s="30" t="n"/>
      <c r="JLM71" s="138">
        <f>+JLI71-JLK71-JLM71</f>
        <v/>
      </c>
      <c r="JLN71" s="533" t="n"/>
      <c r="JLO71" s="515" t="inlineStr">
        <is>
          <t>SEGUROS</t>
        </is>
      </c>
      <c r="JLP71" s="534" t="inlineStr">
        <is>
          <t>RIMAC SEGUROS</t>
        </is>
      </c>
      <c r="JLQ71" s="447" t="n"/>
      <c r="JLR71" s="529" t="n">
        <v>1086478942</v>
      </c>
      <c r="JLS71" s="518" t="n"/>
      <c r="JLT71" s="519" t="n"/>
      <c r="JLU71" s="519" t="n">
        <v>45341</v>
      </c>
      <c r="JLX71" s="137" t="n">
        <v>218.95</v>
      </c>
      <c r="JLY71" s="30" t="n"/>
      <c r="JLZ71" s="451" t="n"/>
      <c r="JMA71" s="34" t="n"/>
      <c r="JMB71" s="30" t="n"/>
      <c r="JMC71" s="138">
        <f>+JLY71-JMA71-JMC71</f>
        <v/>
      </c>
      <c r="JMD71" s="533" t="n"/>
      <c r="JME71" s="515" t="inlineStr">
        <is>
          <t>SEGUROS</t>
        </is>
      </c>
      <c r="JMF71" s="534" t="inlineStr">
        <is>
          <t>RIMAC SEGUROS</t>
        </is>
      </c>
      <c r="JMG71" s="447" t="n"/>
      <c r="JMH71" s="529" t="n">
        <v>1086478942</v>
      </c>
      <c r="JMI71" s="518" t="n"/>
      <c r="JMJ71" s="519" t="n"/>
      <c r="JMK71" s="519" t="n">
        <v>45341</v>
      </c>
      <c r="JMN71" s="137" t="n">
        <v>218.95</v>
      </c>
      <c r="JMO71" s="30" t="n"/>
      <c r="JMP71" s="451" t="n"/>
      <c r="JMQ71" s="34" t="n"/>
      <c r="JMR71" s="30" t="n"/>
      <c r="JMS71" s="138">
        <f>+JMO71-JMQ71-JMS71</f>
        <v/>
      </c>
      <c r="JMT71" s="533" t="n"/>
      <c r="JMU71" s="515" t="inlineStr">
        <is>
          <t>SEGUROS</t>
        </is>
      </c>
      <c r="JMV71" s="534" t="inlineStr">
        <is>
          <t>RIMAC SEGUROS</t>
        </is>
      </c>
      <c r="JMW71" s="447" t="n"/>
      <c r="JMX71" s="529" t="n">
        <v>1086478942</v>
      </c>
      <c r="JMY71" s="518" t="n"/>
      <c r="JMZ71" s="519" t="n"/>
      <c r="JNA71" s="519" t="n">
        <v>45341</v>
      </c>
      <c r="JND71" s="137" t="n">
        <v>218.95</v>
      </c>
      <c r="JNE71" s="30" t="n"/>
      <c r="JNF71" s="451" t="n"/>
      <c r="JNG71" s="34" t="n"/>
      <c r="JNH71" s="30" t="n"/>
      <c r="JNI71" s="138">
        <f>+JNE71-JNG71-JNI71</f>
        <v/>
      </c>
      <c r="JNJ71" s="533" t="n"/>
      <c r="JNK71" s="515" t="inlineStr">
        <is>
          <t>SEGUROS</t>
        </is>
      </c>
      <c r="JNL71" s="534" t="inlineStr">
        <is>
          <t>RIMAC SEGUROS</t>
        </is>
      </c>
      <c r="JNM71" s="447" t="n"/>
      <c r="JNN71" s="529" t="n">
        <v>1086478942</v>
      </c>
      <c r="JNO71" s="518" t="n"/>
      <c r="JNP71" s="519" t="n"/>
      <c r="JNQ71" s="519" t="n">
        <v>45341</v>
      </c>
      <c r="JNT71" s="137" t="n">
        <v>218.95</v>
      </c>
      <c r="JNU71" s="30" t="n"/>
      <c r="JNV71" s="451" t="n"/>
      <c r="JNW71" s="34" t="n"/>
      <c r="JNX71" s="30" t="n"/>
      <c r="JNY71" s="138">
        <f>+JNU71-JNW71-JNY71</f>
        <v/>
      </c>
      <c r="JNZ71" s="533" t="n"/>
      <c r="JOA71" s="515" t="inlineStr">
        <is>
          <t>SEGUROS</t>
        </is>
      </c>
      <c r="JOB71" s="534" t="inlineStr">
        <is>
          <t>RIMAC SEGUROS</t>
        </is>
      </c>
      <c r="JOC71" s="447" t="n"/>
      <c r="JOD71" s="529" t="n">
        <v>1086478942</v>
      </c>
      <c r="JOE71" s="518" t="n"/>
      <c r="JOF71" s="519" t="n"/>
      <c r="JOG71" s="519" t="n">
        <v>45341</v>
      </c>
      <c r="JOJ71" s="137" t="n">
        <v>218.95</v>
      </c>
      <c r="JOK71" s="30" t="n"/>
      <c r="JOL71" s="451" t="n"/>
      <c r="JOM71" s="34" t="n"/>
      <c r="JON71" s="30" t="n"/>
      <c r="JOO71" s="138">
        <f>+JOK71-JOM71-JOO71</f>
        <v/>
      </c>
      <c r="JOP71" s="533" t="n"/>
      <c r="JOQ71" s="515" t="inlineStr">
        <is>
          <t>SEGUROS</t>
        </is>
      </c>
      <c r="JOR71" s="534" t="inlineStr">
        <is>
          <t>RIMAC SEGUROS</t>
        </is>
      </c>
      <c r="JOS71" s="447" t="n"/>
      <c r="JOT71" s="529" t="n">
        <v>1086478942</v>
      </c>
      <c r="JOU71" s="518" t="n"/>
      <c r="JOV71" s="519" t="n"/>
      <c r="JOW71" s="519" t="n">
        <v>45341</v>
      </c>
      <c r="JOZ71" s="137" t="n">
        <v>218.95</v>
      </c>
      <c r="JPA71" s="30" t="n"/>
      <c r="JPB71" s="451" t="n"/>
      <c r="JPC71" s="34" t="n"/>
      <c r="JPD71" s="30" t="n"/>
      <c r="JPE71" s="138">
        <f>+JPA71-JPC71-JPE71</f>
        <v/>
      </c>
      <c r="JPF71" s="533" t="n"/>
      <c r="JPG71" s="515" t="inlineStr">
        <is>
          <t>SEGUROS</t>
        </is>
      </c>
      <c r="JPH71" s="534" t="inlineStr">
        <is>
          <t>RIMAC SEGUROS</t>
        </is>
      </c>
      <c r="JPI71" s="447" t="n"/>
      <c r="JPJ71" s="529" t="n">
        <v>1086478942</v>
      </c>
      <c r="JPK71" s="518" t="n"/>
      <c r="JPL71" s="519" t="n"/>
      <c r="JPM71" s="519" t="n">
        <v>45341</v>
      </c>
      <c r="JPP71" s="137" t="n">
        <v>218.95</v>
      </c>
      <c r="JPQ71" s="30" t="n"/>
      <c r="JPR71" s="451" t="n"/>
      <c r="JPS71" s="34" t="n"/>
      <c r="JPT71" s="30" t="n"/>
      <c r="JPU71" s="138">
        <f>+JPQ71-JPS71-JPU71</f>
        <v/>
      </c>
      <c r="JPV71" s="533" t="n"/>
      <c r="JPW71" s="515" t="inlineStr">
        <is>
          <t>SEGUROS</t>
        </is>
      </c>
      <c r="JPX71" s="534" t="inlineStr">
        <is>
          <t>RIMAC SEGUROS</t>
        </is>
      </c>
      <c r="JPY71" s="447" t="n"/>
      <c r="JPZ71" s="529" t="n">
        <v>1086478942</v>
      </c>
      <c r="JQA71" s="518" t="n"/>
      <c r="JQB71" s="519" t="n"/>
      <c r="JQC71" s="519" t="n">
        <v>45341</v>
      </c>
      <c r="JQF71" s="137" t="n">
        <v>218.95</v>
      </c>
      <c r="JQG71" s="30" t="n"/>
      <c r="JQH71" s="451" t="n"/>
      <c r="JQI71" s="34" t="n"/>
      <c r="JQJ71" s="30" t="n"/>
      <c r="JQK71" s="138">
        <f>+JQG71-JQI71-JQK71</f>
        <v/>
      </c>
      <c r="JQL71" s="533" t="n"/>
      <c r="JQM71" s="515" t="inlineStr">
        <is>
          <t>SEGUROS</t>
        </is>
      </c>
      <c r="JQN71" s="534" t="inlineStr">
        <is>
          <t>RIMAC SEGUROS</t>
        </is>
      </c>
      <c r="JQO71" s="447" t="n"/>
      <c r="JQP71" s="529" t="n">
        <v>1086478942</v>
      </c>
      <c r="JQQ71" s="518" t="n"/>
      <c r="JQR71" s="519" t="n"/>
      <c r="JQS71" s="519" t="n">
        <v>45341</v>
      </c>
      <c r="JQV71" s="137" t="n">
        <v>218.95</v>
      </c>
      <c r="JQW71" s="30" t="n"/>
      <c r="JQX71" s="451" t="n"/>
      <c r="JQY71" s="34" t="n"/>
      <c r="JQZ71" s="30" t="n"/>
      <c r="JRA71" s="138">
        <f>+JQW71-JQY71-JRA71</f>
        <v/>
      </c>
      <c r="JRB71" s="533" t="n"/>
      <c r="JRC71" s="515" t="inlineStr">
        <is>
          <t>SEGUROS</t>
        </is>
      </c>
      <c r="JRD71" s="534" t="inlineStr">
        <is>
          <t>RIMAC SEGUROS</t>
        </is>
      </c>
      <c r="JRE71" s="447" t="n"/>
      <c r="JRF71" s="529" t="n">
        <v>1086478942</v>
      </c>
      <c r="JRG71" s="518" t="n"/>
      <c r="JRH71" s="519" t="n"/>
      <c r="JRI71" s="519" t="n">
        <v>45341</v>
      </c>
      <c r="JRL71" s="137" t="n">
        <v>218.95</v>
      </c>
      <c r="JRM71" s="30" t="n"/>
      <c r="JRN71" s="451" t="n"/>
      <c r="JRO71" s="34" t="n"/>
      <c r="JRP71" s="30" t="n"/>
      <c r="JRQ71" s="138">
        <f>+JRM71-JRO71-JRQ71</f>
        <v/>
      </c>
      <c r="JRR71" s="533" t="n"/>
      <c r="JRS71" s="515" t="inlineStr">
        <is>
          <t>SEGUROS</t>
        </is>
      </c>
      <c r="JRT71" s="534" t="inlineStr">
        <is>
          <t>RIMAC SEGUROS</t>
        </is>
      </c>
      <c r="JRU71" s="447" t="n"/>
      <c r="JRV71" s="529" t="n">
        <v>1086478942</v>
      </c>
      <c r="JRW71" s="518" t="n"/>
      <c r="JRX71" s="519" t="n"/>
      <c r="JRY71" s="519" t="n">
        <v>45341</v>
      </c>
      <c r="JSB71" s="137" t="n">
        <v>218.95</v>
      </c>
      <c r="JSC71" s="30" t="n"/>
      <c r="JSD71" s="451" t="n"/>
      <c r="JSE71" s="34" t="n"/>
      <c r="JSF71" s="30" t="n"/>
      <c r="JSG71" s="138">
        <f>+JSC71-JSE71-JSG71</f>
        <v/>
      </c>
      <c r="JSH71" s="533" t="n"/>
      <c r="JSI71" s="515" t="inlineStr">
        <is>
          <t>SEGUROS</t>
        </is>
      </c>
      <c r="JSJ71" s="534" t="inlineStr">
        <is>
          <t>RIMAC SEGUROS</t>
        </is>
      </c>
      <c r="JSK71" s="447" t="n"/>
      <c r="JSL71" s="529" t="n">
        <v>1086478942</v>
      </c>
      <c r="JSM71" s="518" t="n"/>
      <c r="JSN71" s="519" t="n"/>
      <c r="JSO71" s="519" t="n">
        <v>45341</v>
      </c>
      <c r="JSR71" s="137" t="n">
        <v>218.95</v>
      </c>
      <c r="JSS71" s="30" t="n"/>
      <c r="JST71" s="451" t="n"/>
      <c r="JSU71" s="34" t="n"/>
      <c r="JSV71" s="30" t="n"/>
      <c r="JSW71" s="138">
        <f>+JSS71-JSU71-JSW71</f>
        <v/>
      </c>
      <c r="JSX71" s="533" t="n"/>
      <c r="JSY71" s="515" t="inlineStr">
        <is>
          <t>SEGUROS</t>
        </is>
      </c>
      <c r="JSZ71" s="534" t="inlineStr">
        <is>
          <t>RIMAC SEGUROS</t>
        </is>
      </c>
      <c r="JTA71" s="447" t="n"/>
      <c r="JTB71" s="529" t="n">
        <v>1086478942</v>
      </c>
      <c r="JTC71" s="518" t="n"/>
      <c r="JTD71" s="519" t="n"/>
      <c r="JTE71" s="519" t="n">
        <v>45341</v>
      </c>
      <c r="JTH71" s="137" t="n">
        <v>218.95</v>
      </c>
      <c r="JTI71" s="30" t="n"/>
      <c r="JTJ71" s="451" t="n"/>
      <c r="JTK71" s="34" t="n"/>
      <c r="JTL71" s="30" t="n"/>
      <c r="JTM71" s="138">
        <f>+JTI71-JTK71-JTM71</f>
        <v/>
      </c>
      <c r="JTN71" s="533" t="n"/>
      <c r="JTO71" s="515" t="inlineStr">
        <is>
          <t>SEGUROS</t>
        </is>
      </c>
      <c r="JTP71" s="534" t="inlineStr">
        <is>
          <t>RIMAC SEGUROS</t>
        </is>
      </c>
      <c r="JTQ71" s="447" t="n"/>
      <c r="JTR71" s="529" t="n">
        <v>1086478942</v>
      </c>
      <c r="JTS71" s="518" t="n"/>
      <c r="JTT71" s="519" t="n"/>
      <c r="JTU71" s="519" t="n">
        <v>45341</v>
      </c>
      <c r="JTX71" s="137" t="n">
        <v>218.95</v>
      </c>
      <c r="JTY71" s="30" t="n"/>
      <c r="JTZ71" s="451" t="n"/>
      <c r="JUA71" s="34" t="n"/>
      <c r="JUB71" s="30" t="n"/>
      <c r="JUC71" s="138">
        <f>+JTY71-JUA71-JUC71</f>
        <v/>
      </c>
      <c r="JUD71" s="533" t="n"/>
      <c r="JUE71" s="515" t="inlineStr">
        <is>
          <t>SEGUROS</t>
        </is>
      </c>
      <c r="JUF71" s="534" t="inlineStr">
        <is>
          <t>RIMAC SEGUROS</t>
        </is>
      </c>
      <c r="JUG71" s="447" t="n"/>
      <c r="JUH71" s="529" t="n">
        <v>1086478942</v>
      </c>
      <c r="JUI71" s="518" t="n"/>
      <c r="JUJ71" s="519" t="n"/>
      <c r="JUK71" s="519" t="n">
        <v>45341</v>
      </c>
      <c r="JUN71" s="137" t="n">
        <v>218.95</v>
      </c>
      <c r="JUO71" s="30" t="n"/>
      <c r="JUP71" s="451" t="n"/>
      <c r="JUQ71" s="34" t="n"/>
      <c r="JUR71" s="30" t="n"/>
      <c r="JUS71" s="138">
        <f>+JUO71-JUQ71-JUS71</f>
        <v/>
      </c>
      <c r="JUT71" s="533" t="n"/>
      <c r="JUU71" s="515" t="inlineStr">
        <is>
          <t>SEGUROS</t>
        </is>
      </c>
      <c r="JUV71" s="534" t="inlineStr">
        <is>
          <t>RIMAC SEGUROS</t>
        </is>
      </c>
      <c r="JUW71" s="447" t="n"/>
      <c r="JUX71" s="529" t="n">
        <v>1086478942</v>
      </c>
      <c r="JUY71" s="518" t="n"/>
      <c r="JUZ71" s="519" t="n"/>
      <c r="JVA71" s="519" t="n">
        <v>45341</v>
      </c>
      <c r="JVD71" s="137" t="n">
        <v>218.95</v>
      </c>
      <c r="JVE71" s="30" t="n"/>
      <c r="JVF71" s="451" t="n"/>
      <c r="JVG71" s="34" t="n"/>
      <c r="JVH71" s="30" t="n"/>
      <c r="JVI71" s="138">
        <f>+JVE71-JVG71-JVI71</f>
        <v/>
      </c>
      <c r="JVJ71" s="533" t="n"/>
      <c r="JVK71" s="515" t="inlineStr">
        <is>
          <t>SEGUROS</t>
        </is>
      </c>
      <c r="JVL71" s="534" t="inlineStr">
        <is>
          <t>RIMAC SEGUROS</t>
        </is>
      </c>
      <c r="JVM71" s="447" t="n"/>
      <c r="JVN71" s="529" t="n">
        <v>1086478942</v>
      </c>
      <c r="JVO71" s="518" t="n"/>
      <c r="JVP71" s="519" t="n"/>
      <c r="JVQ71" s="519" t="n">
        <v>45341</v>
      </c>
      <c r="JVT71" s="137" t="n">
        <v>218.95</v>
      </c>
      <c r="JVU71" s="30" t="n"/>
      <c r="JVV71" s="451" t="n"/>
      <c r="JVW71" s="34" t="n"/>
      <c r="JVX71" s="30" t="n"/>
      <c r="JVY71" s="138">
        <f>+JVU71-JVW71-JVY71</f>
        <v/>
      </c>
      <c r="JVZ71" s="533" t="n"/>
      <c r="JWA71" s="515" t="inlineStr">
        <is>
          <t>SEGUROS</t>
        </is>
      </c>
      <c r="JWB71" s="534" t="inlineStr">
        <is>
          <t>RIMAC SEGUROS</t>
        </is>
      </c>
      <c r="JWC71" s="447" t="n"/>
      <c r="JWD71" s="529" t="n">
        <v>1086478942</v>
      </c>
      <c r="JWE71" s="518" t="n"/>
      <c r="JWF71" s="519" t="n"/>
      <c r="JWG71" s="519" t="n">
        <v>45341</v>
      </c>
      <c r="JWJ71" s="137" t="n">
        <v>218.95</v>
      </c>
      <c r="JWK71" s="30" t="n"/>
      <c r="JWL71" s="451" t="n"/>
      <c r="JWM71" s="34" t="n"/>
      <c r="JWN71" s="30" t="n"/>
      <c r="JWO71" s="138">
        <f>+JWK71-JWM71-JWO71</f>
        <v/>
      </c>
      <c r="JWP71" s="533" t="n"/>
      <c r="JWQ71" s="515" t="inlineStr">
        <is>
          <t>SEGUROS</t>
        </is>
      </c>
      <c r="JWR71" s="534" t="inlineStr">
        <is>
          <t>RIMAC SEGUROS</t>
        </is>
      </c>
      <c r="JWS71" s="447" t="n"/>
      <c r="JWT71" s="529" t="n">
        <v>1086478942</v>
      </c>
      <c r="JWU71" s="518" t="n"/>
      <c r="JWV71" s="519" t="n"/>
      <c r="JWW71" s="519" t="n">
        <v>45341</v>
      </c>
      <c r="JWZ71" s="137" t="n">
        <v>218.95</v>
      </c>
      <c r="JXA71" s="30" t="n"/>
      <c r="JXB71" s="451" t="n"/>
      <c r="JXC71" s="34" t="n"/>
      <c r="JXD71" s="30" t="n"/>
      <c r="JXE71" s="138">
        <f>+JXA71-JXC71-JXE71</f>
        <v/>
      </c>
      <c r="JXF71" s="533" t="n"/>
      <c r="JXG71" s="515" t="inlineStr">
        <is>
          <t>SEGUROS</t>
        </is>
      </c>
      <c r="JXH71" s="534" t="inlineStr">
        <is>
          <t>RIMAC SEGUROS</t>
        </is>
      </c>
      <c r="JXI71" s="447" t="n"/>
      <c r="JXJ71" s="529" t="n">
        <v>1086478942</v>
      </c>
      <c r="JXK71" s="518" t="n"/>
      <c r="JXL71" s="519" t="n"/>
      <c r="JXM71" s="519" t="n">
        <v>45341</v>
      </c>
      <c r="JXP71" s="137" t="n">
        <v>218.95</v>
      </c>
      <c r="JXQ71" s="30" t="n"/>
      <c r="JXR71" s="451" t="n"/>
      <c r="JXS71" s="34" t="n"/>
      <c r="JXT71" s="30" t="n"/>
      <c r="JXU71" s="138">
        <f>+JXQ71-JXS71-JXU71</f>
        <v/>
      </c>
      <c r="JXV71" s="533" t="n"/>
      <c r="JXW71" s="515" t="inlineStr">
        <is>
          <t>SEGUROS</t>
        </is>
      </c>
      <c r="JXX71" s="534" t="inlineStr">
        <is>
          <t>RIMAC SEGUROS</t>
        </is>
      </c>
      <c r="JXY71" s="447" t="n"/>
      <c r="JXZ71" s="529" t="n">
        <v>1086478942</v>
      </c>
      <c r="JYA71" s="518" t="n"/>
      <c r="JYB71" s="519" t="n"/>
      <c r="JYC71" s="519" t="n">
        <v>45341</v>
      </c>
      <c r="JYF71" s="137" t="n">
        <v>218.95</v>
      </c>
      <c r="JYG71" s="30" t="n"/>
      <c r="JYH71" s="451" t="n"/>
      <c r="JYI71" s="34" t="n"/>
      <c r="JYJ71" s="30" t="n"/>
      <c r="JYK71" s="138">
        <f>+JYG71-JYI71-JYK71</f>
        <v/>
      </c>
      <c r="JYL71" s="533" t="n"/>
      <c r="JYM71" s="515" t="inlineStr">
        <is>
          <t>SEGUROS</t>
        </is>
      </c>
      <c r="JYN71" s="534" t="inlineStr">
        <is>
          <t>RIMAC SEGUROS</t>
        </is>
      </c>
      <c r="JYO71" s="447" t="n"/>
      <c r="JYP71" s="529" t="n">
        <v>1086478942</v>
      </c>
      <c r="JYQ71" s="518" t="n"/>
      <c r="JYR71" s="519" t="n"/>
      <c r="JYS71" s="519" t="n">
        <v>45341</v>
      </c>
      <c r="JYV71" s="137" t="n">
        <v>218.95</v>
      </c>
      <c r="JYW71" s="30" t="n"/>
      <c r="JYX71" s="451" t="n"/>
      <c r="JYY71" s="34" t="n"/>
      <c r="JYZ71" s="30" t="n"/>
      <c r="JZA71" s="138">
        <f>+JYW71-JYY71-JZA71</f>
        <v/>
      </c>
      <c r="JZB71" s="533" t="n"/>
      <c r="JZC71" s="515" t="inlineStr">
        <is>
          <t>SEGUROS</t>
        </is>
      </c>
      <c r="JZD71" s="534" t="inlineStr">
        <is>
          <t>RIMAC SEGUROS</t>
        </is>
      </c>
      <c r="JZE71" s="447" t="n"/>
      <c r="JZF71" s="529" t="n">
        <v>1086478942</v>
      </c>
      <c r="JZG71" s="518" t="n"/>
      <c r="JZH71" s="519" t="n"/>
      <c r="JZI71" s="519" t="n">
        <v>45341</v>
      </c>
      <c r="JZL71" s="137" t="n">
        <v>218.95</v>
      </c>
      <c r="JZM71" s="30" t="n"/>
      <c r="JZN71" s="451" t="n"/>
      <c r="JZO71" s="34" t="n"/>
      <c r="JZP71" s="30" t="n"/>
      <c r="JZQ71" s="138">
        <f>+JZM71-JZO71-JZQ71</f>
        <v/>
      </c>
      <c r="JZR71" s="533" t="n"/>
      <c r="JZS71" s="515" t="inlineStr">
        <is>
          <t>SEGUROS</t>
        </is>
      </c>
      <c r="JZT71" s="534" t="inlineStr">
        <is>
          <t>RIMAC SEGUROS</t>
        </is>
      </c>
      <c r="JZU71" s="447" t="n"/>
      <c r="JZV71" s="529" t="n">
        <v>1086478942</v>
      </c>
      <c r="JZW71" s="518" t="n"/>
      <c r="JZX71" s="519" t="n"/>
      <c r="JZY71" s="519" t="n">
        <v>45341</v>
      </c>
      <c r="KAB71" s="137" t="n">
        <v>218.95</v>
      </c>
      <c r="KAC71" s="30" t="n"/>
      <c r="KAD71" s="451" t="n"/>
      <c r="KAE71" s="34" t="n"/>
      <c r="KAF71" s="30" t="n"/>
      <c r="KAG71" s="138">
        <f>+KAC71-KAE71-KAG71</f>
        <v/>
      </c>
      <c r="KAH71" s="533" t="n"/>
      <c r="KAI71" s="515" t="inlineStr">
        <is>
          <t>SEGUROS</t>
        </is>
      </c>
      <c r="KAJ71" s="534" t="inlineStr">
        <is>
          <t>RIMAC SEGUROS</t>
        </is>
      </c>
      <c r="KAK71" s="447" t="n"/>
      <c r="KAL71" s="529" t="n">
        <v>1086478942</v>
      </c>
      <c r="KAM71" s="518" t="n"/>
      <c r="KAN71" s="519" t="n"/>
      <c r="KAO71" s="519" t="n">
        <v>45341</v>
      </c>
      <c r="KAR71" s="137" t="n">
        <v>218.95</v>
      </c>
      <c r="KAS71" s="30" t="n"/>
      <c r="KAT71" s="451" t="n"/>
      <c r="KAU71" s="34" t="n"/>
      <c r="KAV71" s="30" t="n"/>
      <c r="KAW71" s="138">
        <f>+KAS71-KAU71-KAW71</f>
        <v/>
      </c>
      <c r="KAX71" s="533" t="n"/>
      <c r="KAY71" s="515" t="inlineStr">
        <is>
          <t>SEGUROS</t>
        </is>
      </c>
      <c r="KAZ71" s="534" t="inlineStr">
        <is>
          <t>RIMAC SEGUROS</t>
        </is>
      </c>
      <c r="KBA71" s="447" t="n"/>
      <c r="KBB71" s="529" t="n">
        <v>1086478942</v>
      </c>
      <c r="KBC71" s="518" t="n"/>
      <c r="KBD71" s="519" t="n"/>
      <c r="KBE71" s="519" t="n">
        <v>45341</v>
      </c>
      <c r="KBH71" s="137" t="n">
        <v>218.95</v>
      </c>
      <c r="KBI71" s="30" t="n"/>
      <c r="KBJ71" s="451" t="n"/>
      <c r="KBK71" s="34" t="n"/>
      <c r="KBL71" s="30" t="n"/>
      <c r="KBM71" s="138">
        <f>+KBI71-KBK71-KBM71</f>
        <v/>
      </c>
      <c r="KBN71" s="533" t="n"/>
      <c r="KBO71" s="515" t="inlineStr">
        <is>
          <t>SEGUROS</t>
        </is>
      </c>
      <c r="KBP71" s="534" t="inlineStr">
        <is>
          <t>RIMAC SEGUROS</t>
        </is>
      </c>
      <c r="KBQ71" s="447" t="n"/>
      <c r="KBR71" s="529" t="n">
        <v>1086478942</v>
      </c>
      <c r="KBS71" s="518" t="n"/>
      <c r="KBT71" s="519" t="n"/>
      <c r="KBU71" s="519" t="n">
        <v>45341</v>
      </c>
      <c r="KBX71" s="137" t="n">
        <v>218.95</v>
      </c>
      <c r="KBY71" s="30" t="n"/>
      <c r="KBZ71" s="451" t="n"/>
      <c r="KCA71" s="34" t="n"/>
      <c r="KCB71" s="30" t="n"/>
      <c r="KCC71" s="138">
        <f>+KBY71-KCA71-KCC71</f>
        <v/>
      </c>
      <c r="KCD71" s="533" t="n"/>
      <c r="KCE71" s="515" t="inlineStr">
        <is>
          <t>SEGUROS</t>
        </is>
      </c>
      <c r="KCF71" s="534" t="inlineStr">
        <is>
          <t>RIMAC SEGUROS</t>
        </is>
      </c>
      <c r="KCG71" s="447" t="n"/>
      <c r="KCH71" s="529" t="n">
        <v>1086478942</v>
      </c>
      <c r="KCI71" s="518" t="n"/>
      <c r="KCJ71" s="519" t="n"/>
      <c r="KCK71" s="519" t="n">
        <v>45341</v>
      </c>
      <c r="KCN71" s="137" t="n">
        <v>218.95</v>
      </c>
      <c r="KCO71" s="30" t="n"/>
      <c r="KCP71" s="451" t="n"/>
      <c r="KCQ71" s="34" t="n"/>
      <c r="KCR71" s="30" t="n"/>
      <c r="KCS71" s="138">
        <f>+KCO71-KCQ71-KCS71</f>
        <v/>
      </c>
      <c r="KCT71" s="533" t="n"/>
      <c r="KCU71" s="515" t="inlineStr">
        <is>
          <t>SEGUROS</t>
        </is>
      </c>
      <c r="KCV71" s="534" t="inlineStr">
        <is>
          <t>RIMAC SEGUROS</t>
        </is>
      </c>
      <c r="KCW71" s="447" t="n"/>
      <c r="KCX71" s="529" t="n">
        <v>1086478942</v>
      </c>
      <c r="KCY71" s="518" t="n"/>
      <c r="KCZ71" s="519" t="n"/>
      <c r="KDA71" s="519" t="n">
        <v>45341</v>
      </c>
      <c r="KDD71" s="137" t="n">
        <v>218.95</v>
      </c>
      <c r="KDE71" s="30" t="n"/>
      <c r="KDF71" s="451" t="n"/>
      <c r="KDG71" s="34" t="n"/>
      <c r="KDH71" s="30" t="n"/>
      <c r="KDI71" s="138">
        <f>+KDE71-KDG71-KDI71</f>
        <v/>
      </c>
      <c r="KDJ71" s="533" t="n"/>
      <c r="KDK71" s="515" t="inlineStr">
        <is>
          <t>SEGUROS</t>
        </is>
      </c>
      <c r="KDL71" s="534" t="inlineStr">
        <is>
          <t>RIMAC SEGUROS</t>
        </is>
      </c>
      <c r="KDM71" s="447" t="n"/>
      <c r="KDN71" s="529" t="n">
        <v>1086478942</v>
      </c>
      <c r="KDO71" s="518" t="n"/>
      <c r="KDP71" s="519" t="n"/>
      <c r="KDQ71" s="519" t="n">
        <v>45341</v>
      </c>
      <c r="KDT71" s="137" t="n">
        <v>218.95</v>
      </c>
      <c r="KDU71" s="30" t="n"/>
      <c r="KDV71" s="451" t="n"/>
      <c r="KDW71" s="34" t="n"/>
      <c r="KDX71" s="30" t="n"/>
      <c r="KDY71" s="138">
        <f>+KDU71-KDW71-KDY71</f>
        <v/>
      </c>
      <c r="KDZ71" s="533" t="n"/>
      <c r="KEA71" s="515" t="inlineStr">
        <is>
          <t>SEGUROS</t>
        </is>
      </c>
      <c r="KEB71" s="534" t="inlineStr">
        <is>
          <t>RIMAC SEGUROS</t>
        </is>
      </c>
      <c r="KEC71" s="447" t="n"/>
      <c r="KED71" s="529" t="n">
        <v>1086478942</v>
      </c>
      <c r="KEE71" s="518" t="n"/>
      <c r="KEF71" s="519" t="n"/>
      <c r="KEG71" s="519" t="n">
        <v>45341</v>
      </c>
      <c r="KEJ71" s="137" t="n">
        <v>218.95</v>
      </c>
      <c r="KEK71" s="30" t="n"/>
      <c r="KEL71" s="451" t="n"/>
      <c r="KEM71" s="34" t="n"/>
      <c r="KEN71" s="30" t="n"/>
      <c r="KEO71" s="138">
        <f>+KEK71-KEM71-KEO71</f>
        <v/>
      </c>
      <c r="KEP71" s="533" t="n"/>
      <c r="KEQ71" s="515" t="inlineStr">
        <is>
          <t>SEGUROS</t>
        </is>
      </c>
      <c r="KER71" s="534" t="inlineStr">
        <is>
          <t>RIMAC SEGUROS</t>
        </is>
      </c>
      <c r="KES71" s="447" t="n"/>
      <c r="KET71" s="529" t="n">
        <v>1086478942</v>
      </c>
      <c r="KEU71" s="518" t="n"/>
      <c r="KEV71" s="519" t="n"/>
      <c r="KEW71" s="519" t="n">
        <v>45341</v>
      </c>
      <c r="KEZ71" s="137" t="n">
        <v>218.95</v>
      </c>
      <c r="KFA71" s="30" t="n"/>
      <c r="KFB71" s="451" t="n"/>
      <c r="KFC71" s="34" t="n"/>
      <c r="KFD71" s="30" t="n"/>
      <c r="KFE71" s="138">
        <f>+KFA71-KFC71-KFE71</f>
        <v/>
      </c>
      <c r="KFF71" s="533" t="n"/>
      <c r="KFG71" s="515" t="inlineStr">
        <is>
          <t>SEGUROS</t>
        </is>
      </c>
      <c r="KFH71" s="534" t="inlineStr">
        <is>
          <t>RIMAC SEGUROS</t>
        </is>
      </c>
      <c r="KFI71" s="447" t="n"/>
      <c r="KFJ71" s="529" t="n">
        <v>1086478942</v>
      </c>
      <c r="KFK71" s="518" t="n"/>
      <c r="KFL71" s="519" t="n"/>
      <c r="KFM71" s="519" t="n">
        <v>45341</v>
      </c>
      <c r="KFP71" s="137" t="n">
        <v>218.95</v>
      </c>
      <c r="KFQ71" s="30" t="n"/>
      <c r="KFR71" s="451" t="n"/>
      <c r="KFS71" s="34" t="n"/>
      <c r="KFT71" s="30" t="n"/>
      <c r="KFU71" s="138">
        <f>+KFQ71-KFS71-KFU71</f>
        <v/>
      </c>
      <c r="KFV71" s="533" t="n"/>
      <c r="KFW71" s="515" t="inlineStr">
        <is>
          <t>SEGUROS</t>
        </is>
      </c>
      <c r="KFX71" s="534" t="inlineStr">
        <is>
          <t>RIMAC SEGUROS</t>
        </is>
      </c>
      <c r="KFY71" s="447" t="n"/>
      <c r="KFZ71" s="529" t="n">
        <v>1086478942</v>
      </c>
      <c r="KGA71" s="518" t="n"/>
      <c r="KGB71" s="519" t="n"/>
      <c r="KGC71" s="519" t="n">
        <v>45341</v>
      </c>
      <c r="KGF71" s="137" t="n">
        <v>218.95</v>
      </c>
      <c r="KGG71" s="30" t="n"/>
      <c r="KGH71" s="451" t="n"/>
      <c r="KGI71" s="34" t="n"/>
      <c r="KGJ71" s="30" t="n"/>
      <c r="KGK71" s="138">
        <f>+KGG71-KGI71-KGK71</f>
        <v/>
      </c>
      <c r="KGL71" s="533" t="n"/>
      <c r="KGM71" s="515" t="inlineStr">
        <is>
          <t>SEGUROS</t>
        </is>
      </c>
      <c r="KGN71" s="534" t="inlineStr">
        <is>
          <t>RIMAC SEGUROS</t>
        </is>
      </c>
      <c r="KGO71" s="447" t="n"/>
      <c r="KGP71" s="529" t="n">
        <v>1086478942</v>
      </c>
      <c r="KGQ71" s="518" t="n"/>
      <c r="KGR71" s="519" t="n"/>
      <c r="KGS71" s="519" t="n">
        <v>45341</v>
      </c>
      <c r="KGV71" s="137" t="n">
        <v>218.95</v>
      </c>
      <c r="KGW71" s="30" t="n"/>
      <c r="KGX71" s="451" t="n"/>
      <c r="KGY71" s="34" t="n"/>
      <c r="KGZ71" s="30" t="n"/>
      <c r="KHA71" s="138">
        <f>+KGW71-KGY71-KHA71</f>
        <v/>
      </c>
      <c r="KHB71" s="533" t="n"/>
      <c r="KHC71" s="515" t="inlineStr">
        <is>
          <t>SEGUROS</t>
        </is>
      </c>
      <c r="KHD71" s="534" t="inlineStr">
        <is>
          <t>RIMAC SEGUROS</t>
        </is>
      </c>
      <c r="KHE71" s="447" t="n"/>
      <c r="KHF71" s="529" t="n">
        <v>1086478942</v>
      </c>
      <c r="KHG71" s="518" t="n"/>
      <c r="KHH71" s="519" t="n"/>
      <c r="KHI71" s="519" t="n">
        <v>45341</v>
      </c>
      <c r="KHL71" s="137" t="n">
        <v>218.95</v>
      </c>
      <c r="KHM71" s="30" t="n"/>
      <c r="KHN71" s="451" t="n"/>
      <c r="KHO71" s="34" t="n"/>
      <c r="KHP71" s="30" t="n"/>
      <c r="KHQ71" s="138">
        <f>+KHM71-KHO71-KHQ71</f>
        <v/>
      </c>
      <c r="KHR71" s="533" t="n"/>
      <c r="KHS71" s="515" t="inlineStr">
        <is>
          <t>SEGUROS</t>
        </is>
      </c>
      <c r="KHT71" s="534" t="inlineStr">
        <is>
          <t>RIMAC SEGUROS</t>
        </is>
      </c>
      <c r="KHU71" s="447" t="n"/>
      <c r="KHV71" s="529" t="n">
        <v>1086478942</v>
      </c>
      <c r="KHW71" s="518" t="n"/>
      <c r="KHX71" s="519" t="n"/>
      <c r="KHY71" s="519" t="n">
        <v>45341</v>
      </c>
      <c r="KIB71" s="137" t="n">
        <v>218.95</v>
      </c>
      <c r="KIC71" s="30" t="n"/>
      <c r="KID71" s="451" t="n"/>
      <c r="KIE71" s="34" t="n"/>
      <c r="KIF71" s="30" t="n"/>
      <c r="KIG71" s="138">
        <f>+KIC71-KIE71-KIG71</f>
        <v/>
      </c>
      <c r="KIH71" s="533" t="n"/>
      <c r="KII71" s="515" t="inlineStr">
        <is>
          <t>SEGUROS</t>
        </is>
      </c>
      <c r="KIJ71" s="534" t="inlineStr">
        <is>
          <t>RIMAC SEGUROS</t>
        </is>
      </c>
      <c r="KIK71" s="447" t="n"/>
      <c r="KIL71" s="529" t="n">
        <v>1086478942</v>
      </c>
      <c r="KIM71" s="518" t="n"/>
      <c r="KIN71" s="519" t="n"/>
      <c r="KIO71" s="519" t="n">
        <v>45341</v>
      </c>
      <c r="KIR71" s="137" t="n">
        <v>218.95</v>
      </c>
      <c r="KIS71" s="30" t="n"/>
      <c r="KIT71" s="451" t="n"/>
      <c r="KIU71" s="34" t="n"/>
      <c r="KIV71" s="30" t="n"/>
      <c r="KIW71" s="138">
        <f>+KIS71-KIU71-KIW71</f>
        <v/>
      </c>
      <c r="KIX71" s="533" t="n"/>
      <c r="KIY71" s="515" t="inlineStr">
        <is>
          <t>SEGUROS</t>
        </is>
      </c>
      <c r="KIZ71" s="534" t="inlineStr">
        <is>
          <t>RIMAC SEGUROS</t>
        </is>
      </c>
      <c r="KJA71" s="447" t="n"/>
      <c r="KJB71" s="529" t="n">
        <v>1086478942</v>
      </c>
      <c r="KJC71" s="518" t="n"/>
      <c r="KJD71" s="519" t="n"/>
      <c r="KJE71" s="519" t="n">
        <v>45341</v>
      </c>
      <c r="KJH71" s="137" t="n">
        <v>218.95</v>
      </c>
      <c r="KJI71" s="30" t="n"/>
      <c r="KJJ71" s="451" t="n"/>
      <c r="KJK71" s="34" t="n"/>
      <c r="KJL71" s="30" t="n"/>
      <c r="KJM71" s="138">
        <f>+KJI71-KJK71-KJM71</f>
        <v/>
      </c>
      <c r="KJN71" s="533" t="n"/>
      <c r="KJO71" s="515" t="inlineStr">
        <is>
          <t>SEGUROS</t>
        </is>
      </c>
      <c r="KJP71" s="534" t="inlineStr">
        <is>
          <t>RIMAC SEGUROS</t>
        </is>
      </c>
      <c r="KJQ71" s="447" t="n"/>
      <c r="KJR71" s="529" t="n">
        <v>1086478942</v>
      </c>
      <c r="KJS71" s="518" t="n"/>
      <c r="KJT71" s="519" t="n"/>
      <c r="KJU71" s="519" t="n">
        <v>45341</v>
      </c>
      <c r="KJX71" s="137" t="n">
        <v>218.95</v>
      </c>
      <c r="KJY71" s="30" t="n"/>
      <c r="KJZ71" s="451" t="n"/>
      <c r="KKA71" s="34" t="n"/>
      <c r="KKB71" s="30" t="n"/>
      <c r="KKC71" s="138">
        <f>+KJY71-KKA71-KKC71</f>
        <v/>
      </c>
      <c r="KKD71" s="533" t="n"/>
      <c r="KKE71" s="515" t="inlineStr">
        <is>
          <t>SEGUROS</t>
        </is>
      </c>
      <c r="KKF71" s="534" t="inlineStr">
        <is>
          <t>RIMAC SEGUROS</t>
        </is>
      </c>
      <c r="KKG71" s="447" t="n"/>
      <c r="KKH71" s="529" t="n">
        <v>1086478942</v>
      </c>
      <c r="KKI71" s="518" t="n"/>
      <c r="KKJ71" s="519" t="n"/>
      <c r="KKK71" s="519" t="n">
        <v>45341</v>
      </c>
      <c r="KKN71" s="137" t="n">
        <v>218.95</v>
      </c>
      <c r="KKO71" s="30" t="n"/>
      <c r="KKP71" s="451" t="n"/>
      <c r="KKQ71" s="34" t="n"/>
      <c r="KKR71" s="30" t="n"/>
      <c r="KKS71" s="138">
        <f>+KKO71-KKQ71-KKS71</f>
        <v/>
      </c>
      <c r="KKT71" s="533" t="n"/>
      <c r="KKU71" s="515" t="inlineStr">
        <is>
          <t>SEGUROS</t>
        </is>
      </c>
      <c r="KKV71" s="534" t="inlineStr">
        <is>
          <t>RIMAC SEGUROS</t>
        </is>
      </c>
      <c r="KKW71" s="447" t="n"/>
      <c r="KKX71" s="529" t="n">
        <v>1086478942</v>
      </c>
      <c r="KKY71" s="518" t="n"/>
      <c r="KKZ71" s="519" t="n"/>
      <c r="KLA71" s="519" t="n">
        <v>45341</v>
      </c>
      <c r="KLD71" s="137" t="n">
        <v>218.95</v>
      </c>
      <c r="KLE71" s="30" t="n"/>
      <c r="KLF71" s="451" t="n"/>
      <c r="KLG71" s="34" t="n"/>
      <c r="KLH71" s="30" t="n"/>
      <c r="KLI71" s="138">
        <f>+KLE71-KLG71-KLI71</f>
        <v/>
      </c>
      <c r="KLJ71" s="533" t="n"/>
      <c r="KLK71" s="515" t="inlineStr">
        <is>
          <t>SEGUROS</t>
        </is>
      </c>
      <c r="KLL71" s="534" t="inlineStr">
        <is>
          <t>RIMAC SEGUROS</t>
        </is>
      </c>
      <c r="KLM71" s="447" t="n"/>
      <c r="KLN71" s="529" t="n">
        <v>1086478942</v>
      </c>
      <c r="KLO71" s="518" t="n"/>
      <c r="KLP71" s="519" t="n"/>
      <c r="KLQ71" s="519" t="n">
        <v>45341</v>
      </c>
      <c r="KLT71" s="137" t="n">
        <v>218.95</v>
      </c>
      <c r="KLU71" s="30" t="n"/>
      <c r="KLV71" s="451" t="n"/>
      <c r="KLW71" s="34" t="n"/>
      <c r="KLX71" s="30" t="n"/>
      <c r="KLY71" s="138">
        <f>+KLU71-KLW71-KLY71</f>
        <v/>
      </c>
      <c r="KLZ71" s="533" t="n"/>
      <c r="KMA71" s="515" t="inlineStr">
        <is>
          <t>SEGUROS</t>
        </is>
      </c>
      <c r="KMB71" s="534" t="inlineStr">
        <is>
          <t>RIMAC SEGUROS</t>
        </is>
      </c>
      <c r="KMC71" s="447" t="n"/>
      <c r="KMD71" s="529" t="n">
        <v>1086478942</v>
      </c>
      <c r="KME71" s="518" t="n"/>
      <c r="KMF71" s="519" t="n"/>
      <c r="KMG71" s="519" t="n">
        <v>45341</v>
      </c>
      <c r="KMJ71" s="137" t="n">
        <v>218.95</v>
      </c>
      <c r="KMK71" s="30" t="n"/>
      <c r="KML71" s="451" t="n"/>
      <c r="KMM71" s="34" t="n"/>
      <c r="KMN71" s="30" t="n"/>
      <c r="KMO71" s="138">
        <f>+KMK71-KMM71-KMO71</f>
        <v/>
      </c>
      <c r="KMP71" s="533" t="n"/>
      <c r="KMQ71" s="515" t="inlineStr">
        <is>
          <t>SEGUROS</t>
        </is>
      </c>
      <c r="KMR71" s="534" t="inlineStr">
        <is>
          <t>RIMAC SEGUROS</t>
        </is>
      </c>
      <c r="KMS71" s="447" t="n"/>
      <c r="KMT71" s="529" t="n">
        <v>1086478942</v>
      </c>
      <c r="KMU71" s="518" t="n"/>
      <c r="KMV71" s="519" t="n"/>
      <c r="KMW71" s="519" t="n">
        <v>45341</v>
      </c>
      <c r="KMZ71" s="137" t="n">
        <v>218.95</v>
      </c>
      <c r="KNA71" s="30" t="n"/>
      <c r="KNB71" s="451" t="n"/>
      <c r="KNC71" s="34" t="n"/>
      <c r="KND71" s="30" t="n"/>
      <c r="KNE71" s="138">
        <f>+KNA71-KNC71-KNE71</f>
        <v/>
      </c>
      <c r="KNF71" s="533" t="n"/>
      <c r="KNG71" s="515" t="inlineStr">
        <is>
          <t>SEGUROS</t>
        </is>
      </c>
      <c r="KNH71" s="534" t="inlineStr">
        <is>
          <t>RIMAC SEGUROS</t>
        </is>
      </c>
      <c r="KNI71" s="447" t="n"/>
      <c r="KNJ71" s="529" t="n">
        <v>1086478942</v>
      </c>
      <c r="KNK71" s="518" t="n"/>
      <c r="KNL71" s="519" t="n"/>
      <c r="KNM71" s="519" t="n">
        <v>45341</v>
      </c>
      <c r="KNP71" s="137" t="n">
        <v>218.95</v>
      </c>
      <c r="KNQ71" s="30" t="n"/>
      <c r="KNR71" s="451" t="n"/>
      <c r="KNS71" s="34" t="n"/>
      <c r="KNT71" s="30" t="n"/>
      <c r="KNU71" s="138">
        <f>+KNQ71-KNS71-KNU71</f>
        <v/>
      </c>
      <c r="KNV71" s="533" t="n"/>
      <c r="KNW71" s="515" t="inlineStr">
        <is>
          <t>SEGUROS</t>
        </is>
      </c>
      <c r="KNX71" s="534" t="inlineStr">
        <is>
          <t>RIMAC SEGUROS</t>
        </is>
      </c>
      <c r="KNY71" s="447" t="n"/>
      <c r="KNZ71" s="529" t="n">
        <v>1086478942</v>
      </c>
      <c r="KOA71" s="518" t="n"/>
      <c r="KOB71" s="519" t="n"/>
      <c r="KOC71" s="519" t="n">
        <v>45341</v>
      </c>
      <c r="KOF71" s="137" t="n">
        <v>218.95</v>
      </c>
      <c r="KOG71" s="30" t="n"/>
      <c r="KOH71" s="451" t="n"/>
      <c r="KOI71" s="34" t="n"/>
      <c r="KOJ71" s="30" t="n"/>
      <c r="KOK71" s="138">
        <f>+KOG71-KOI71-KOK71</f>
        <v/>
      </c>
      <c r="KOL71" s="533" t="n"/>
      <c r="KOM71" s="515" t="inlineStr">
        <is>
          <t>SEGUROS</t>
        </is>
      </c>
      <c r="KON71" s="534" t="inlineStr">
        <is>
          <t>RIMAC SEGUROS</t>
        </is>
      </c>
      <c r="KOO71" s="447" t="n"/>
      <c r="KOP71" s="529" t="n">
        <v>1086478942</v>
      </c>
      <c r="KOQ71" s="518" t="n"/>
      <c r="KOR71" s="519" t="n"/>
      <c r="KOS71" s="519" t="n">
        <v>45341</v>
      </c>
      <c r="KOV71" s="137" t="n">
        <v>218.95</v>
      </c>
      <c r="KOW71" s="30" t="n"/>
      <c r="KOX71" s="451" t="n"/>
      <c r="KOY71" s="34" t="n"/>
      <c r="KOZ71" s="30" t="n"/>
      <c r="KPA71" s="138">
        <f>+KOW71-KOY71-KPA71</f>
        <v/>
      </c>
      <c r="KPB71" s="533" t="n"/>
      <c r="KPC71" s="515" t="inlineStr">
        <is>
          <t>SEGUROS</t>
        </is>
      </c>
      <c r="KPD71" s="534" t="inlineStr">
        <is>
          <t>RIMAC SEGUROS</t>
        </is>
      </c>
      <c r="KPE71" s="447" t="n"/>
      <c r="KPF71" s="529" t="n">
        <v>1086478942</v>
      </c>
      <c r="KPG71" s="518" t="n"/>
      <c r="KPH71" s="519" t="n"/>
      <c r="KPI71" s="519" t="n">
        <v>45341</v>
      </c>
      <c r="KPL71" s="137" t="n">
        <v>218.95</v>
      </c>
      <c r="KPM71" s="30" t="n"/>
      <c r="KPN71" s="451" t="n"/>
      <c r="KPO71" s="34" t="n"/>
      <c r="KPP71" s="30" t="n"/>
      <c r="KPQ71" s="138">
        <f>+KPM71-KPO71-KPQ71</f>
        <v/>
      </c>
      <c r="KPR71" s="533" t="n"/>
      <c r="KPS71" s="515" t="inlineStr">
        <is>
          <t>SEGUROS</t>
        </is>
      </c>
      <c r="KPT71" s="534" t="inlineStr">
        <is>
          <t>RIMAC SEGUROS</t>
        </is>
      </c>
      <c r="KPU71" s="447" t="n"/>
      <c r="KPV71" s="529" t="n">
        <v>1086478942</v>
      </c>
      <c r="KPW71" s="518" t="n"/>
      <c r="KPX71" s="519" t="n"/>
      <c r="KPY71" s="519" t="n">
        <v>45341</v>
      </c>
      <c r="KQB71" s="137" t="n">
        <v>218.95</v>
      </c>
      <c r="KQC71" s="30" t="n"/>
      <c r="KQD71" s="451" t="n"/>
      <c r="KQE71" s="34" t="n"/>
      <c r="KQF71" s="30" t="n"/>
      <c r="KQG71" s="138">
        <f>+KQC71-KQE71-KQG71</f>
        <v/>
      </c>
      <c r="KQH71" s="533" t="n"/>
      <c r="KQI71" s="515" t="inlineStr">
        <is>
          <t>SEGUROS</t>
        </is>
      </c>
      <c r="KQJ71" s="534" t="inlineStr">
        <is>
          <t>RIMAC SEGUROS</t>
        </is>
      </c>
      <c r="KQK71" s="447" t="n"/>
      <c r="KQL71" s="529" t="n">
        <v>1086478942</v>
      </c>
      <c r="KQM71" s="518" t="n"/>
      <c r="KQN71" s="519" t="n"/>
      <c r="KQO71" s="519" t="n">
        <v>45341</v>
      </c>
      <c r="KQR71" s="137" t="n">
        <v>218.95</v>
      </c>
      <c r="KQS71" s="30" t="n"/>
      <c r="KQT71" s="451" t="n"/>
      <c r="KQU71" s="34" t="n"/>
      <c r="KQV71" s="30" t="n"/>
      <c r="KQW71" s="138">
        <f>+KQS71-KQU71-KQW71</f>
        <v/>
      </c>
      <c r="KQX71" s="533" t="n"/>
      <c r="KQY71" s="515" t="inlineStr">
        <is>
          <t>SEGUROS</t>
        </is>
      </c>
      <c r="KQZ71" s="534" t="inlineStr">
        <is>
          <t>RIMAC SEGUROS</t>
        </is>
      </c>
      <c r="KRA71" s="447" t="n"/>
      <c r="KRB71" s="529" t="n">
        <v>1086478942</v>
      </c>
      <c r="KRC71" s="518" t="n"/>
      <c r="KRD71" s="519" t="n"/>
      <c r="KRE71" s="519" t="n">
        <v>45341</v>
      </c>
      <c r="KRH71" s="137" t="n">
        <v>218.95</v>
      </c>
      <c r="KRI71" s="30" t="n"/>
      <c r="KRJ71" s="451" t="n"/>
      <c r="KRK71" s="34" t="n"/>
      <c r="KRL71" s="30" t="n"/>
      <c r="KRM71" s="138">
        <f>+KRI71-KRK71-KRM71</f>
        <v/>
      </c>
      <c r="KRN71" s="533" t="n"/>
      <c r="KRO71" s="515" t="inlineStr">
        <is>
          <t>SEGUROS</t>
        </is>
      </c>
      <c r="KRP71" s="534" t="inlineStr">
        <is>
          <t>RIMAC SEGUROS</t>
        </is>
      </c>
      <c r="KRQ71" s="447" t="n"/>
      <c r="KRR71" s="529" t="n">
        <v>1086478942</v>
      </c>
      <c r="KRS71" s="518" t="n"/>
      <c r="KRT71" s="519" t="n"/>
      <c r="KRU71" s="519" t="n">
        <v>45341</v>
      </c>
      <c r="KRX71" s="137" t="n">
        <v>218.95</v>
      </c>
      <c r="KRY71" s="30" t="n"/>
      <c r="KRZ71" s="451" t="n"/>
      <c r="KSA71" s="34" t="n"/>
      <c r="KSB71" s="30" t="n"/>
      <c r="KSC71" s="138">
        <f>+KRY71-KSA71-KSC71</f>
        <v/>
      </c>
      <c r="KSD71" s="533" t="n"/>
      <c r="KSE71" s="515" t="inlineStr">
        <is>
          <t>SEGUROS</t>
        </is>
      </c>
      <c r="KSF71" s="534" t="inlineStr">
        <is>
          <t>RIMAC SEGUROS</t>
        </is>
      </c>
      <c r="KSG71" s="447" t="n"/>
      <c r="KSH71" s="529" t="n">
        <v>1086478942</v>
      </c>
      <c r="KSI71" s="518" t="n"/>
      <c r="KSJ71" s="519" t="n"/>
      <c r="KSK71" s="519" t="n">
        <v>45341</v>
      </c>
      <c r="KSN71" s="137" t="n">
        <v>218.95</v>
      </c>
      <c r="KSO71" s="30" t="n"/>
      <c r="KSP71" s="451" t="n"/>
      <c r="KSQ71" s="34" t="n"/>
      <c r="KSR71" s="30" t="n"/>
      <c r="KSS71" s="138">
        <f>+KSO71-KSQ71-KSS71</f>
        <v/>
      </c>
      <c r="KST71" s="533" t="n"/>
      <c r="KSU71" s="515" t="inlineStr">
        <is>
          <t>SEGUROS</t>
        </is>
      </c>
      <c r="KSV71" s="534" t="inlineStr">
        <is>
          <t>RIMAC SEGUROS</t>
        </is>
      </c>
      <c r="KSW71" s="447" t="n"/>
      <c r="KSX71" s="529" t="n">
        <v>1086478942</v>
      </c>
      <c r="KSY71" s="518" t="n"/>
      <c r="KSZ71" s="519" t="n"/>
      <c r="KTA71" s="519" t="n">
        <v>45341</v>
      </c>
      <c r="KTD71" s="137" t="n">
        <v>218.95</v>
      </c>
      <c r="KTE71" s="30" t="n"/>
      <c r="KTF71" s="451" t="n"/>
      <c r="KTG71" s="34" t="n"/>
      <c r="KTH71" s="30" t="n"/>
      <c r="KTI71" s="138">
        <f>+KTE71-KTG71-KTI71</f>
        <v/>
      </c>
      <c r="KTJ71" s="533" t="n"/>
      <c r="KTK71" s="515" t="inlineStr">
        <is>
          <t>SEGUROS</t>
        </is>
      </c>
      <c r="KTL71" s="534" t="inlineStr">
        <is>
          <t>RIMAC SEGUROS</t>
        </is>
      </c>
      <c r="KTM71" s="447" t="n"/>
      <c r="KTN71" s="529" t="n">
        <v>1086478942</v>
      </c>
      <c r="KTO71" s="518" t="n"/>
      <c r="KTP71" s="519" t="n"/>
      <c r="KTQ71" s="519" t="n">
        <v>45341</v>
      </c>
      <c r="KTT71" s="137" t="n">
        <v>218.95</v>
      </c>
      <c r="KTU71" s="30" t="n"/>
      <c r="KTV71" s="451" t="n"/>
      <c r="KTW71" s="34" t="n"/>
      <c r="KTX71" s="30" t="n"/>
      <c r="KTY71" s="138">
        <f>+KTU71-KTW71-KTY71</f>
        <v/>
      </c>
      <c r="KTZ71" s="533" t="n"/>
      <c r="KUA71" s="515" t="inlineStr">
        <is>
          <t>SEGUROS</t>
        </is>
      </c>
      <c r="KUB71" s="534" t="inlineStr">
        <is>
          <t>RIMAC SEGUROS</t>
        </is>
      </c>
      <c r="KUC71" s="447" t="n"/>
      <c r="KUD71" s="529" t="n">
        <v>1086478942</v>
      </c>
      <c r="KUE71" s="518" t="n"/>
      <c r="KUF71" s="519" t="n"/>
      <c r="KUG71" s="519" t="n">
        <v>45341</v>
      </c>
      <c r="KUJ71" s="137" t="n">
        <v>218.95</v>
      </c>
      <c r="KUK71" s="30" t="n"/>
      <c r="KUL71" s="451" t="n"/>
      <c r="KUM71" s="34" t="n"/>
      <c r="KUN71" s="30" t="n"/>
      <c r="KUO71" s="138">
        <f>+KUK71-KUM71-KUO71</f>
        <v/>
      </c>
      <c r="KUP71" s="533" t="n"/>
      <c r="KUQ71" s="515" t="inlineStr">
        <is>
          <t>SEGUROS</t>
        </is>
      </c>
      <c r="KUR71" s="534" t="inlineStr">
        <is>
          <t>RIMAC SEGUROS</t>
        </is>
      </c>
      <c r="KUS71" s="447" t="n"/>
      <c r="KUT71" s="529" t="n">
        <v>1086478942</v>
      </c>
      <c r="KUU71" s="518" t="n"/>
      <c r="KUV71" s="519" t="n"/>
      <c r="KUW71" s="519" t="n">
        <v>45341</v>
      </c>
      <c r="KUZ71" s="137" t="n">
        <v>218.95</v>
      </c>
      <c r="KVA71" s="30" t="n"/>
      <c r="KVB71" s="451" t="n"/>
      <c r="KVC71" s="34" t="n"/>
      <c r="KVD71" s="30" t="n"/>
      <c r="KVE71" s="138">
        <f>+KVA71-KVC71-KVE71</f>
        <v/>
      </c>
      <c r="KVF71" s="533" t="n"/>
      <c r="KVG71" s="515" t="inlineStr">
        <is>
          <t>SEGUROS</t>
        </is>
      </c>
      <c r="KVH71" s="534" t="inlineStr">
        <is>
          <t>RIMAC SEGUROS</t>
        </is>
      </c>
      <c r="KVI71" s="447" t="n"/>
      <c r="KVJ71" s="529" t="n">
        <v>1086478942</v>
      </c>
      <c r="KVK71" s="518" t="n"/>
      <c r="KVL71" s="519" t="n"/>
      <c r="KVM71" s="519" t="n">
        <v>45341</v>
      </c>
      <c r="KVP71" s="137" t="n">
        <v>218.95</v>
      </c>
      <c r="KVQ71" s="30" t="n"/>
      <c r="KVR71" s="451" t="n"/>
      <c r="KVS71" s="34" t="n"/>
      <c r="KVT71" s="30" t="n"/>
      <c r="KVU71" s="138">
        <f>+KVQ71-KVS71-KVU71</f>
        <v/>
      </c>
      <c r="KVV71" s="533" t="n"/>
      <c r="KVW71" s="515" t="inlineStr">
        <is>
          <t>SEGUROS</t>
        </is>
      </c>
      <c r="KVX71" s="534" t="inlineStr">
        <is>
          <t>RIMAC SEGUROS</t>
        </is>
      </c>
      <c r="KVY71" s="447" t="n"/>
      <c r="KVZ71" s="529" t="n">
        <v>1086478942</v>
      </c>
      <c r="KWA71" s="518" t="n"/>
      <c r="KWB71" s="519" t="n"/>
      <c r="KWC71" s="519" t="n">
        <v>45341</v>
      </c>
      <c r="KWF71" s="137" t="n">
        <v>218.95</v>
      </c>
      <c r="KWG71" s="30" t="n"/>
      <c r="KWH71" s="451" t="n"/>
      <c r="KWI71" s="34" t="n"/>
      <c r="KWJ71" s="30" t="n"/>
      <c r="KWK71" s="138">
        <f>+KWG71-KWI71-KWK71</f>
        <v/>
      </c>
      <c r="KWL71" s="533" t="n"/>
      <c r="KWM71" s="515" t="inlineStr">
        <is>
          <t>SEGUROS</t>
        </is>
      </c>
      <c r="KWN71" s="534" t="inlineStr">
        <is>
          <t>RIMAC SEGUROS</t>
        </is>
      </c>
      <c r="KWO71" s="447" t="n"/>
      <c r="KWP71" s="529" t="n">
        <v>1086478942</v>
      </c>
      <c r="KWQ71" s="518" t="n"/>
      <c r="KWR71" s="519" t="n"/>
      <c r="KWS71" s="519" t="n">
        <v>45341</v>
      </c>
      <c r="KWV71" s="137" t="n">
        <v>218.95</v>
      </c>
      <c r="KWW71" s="30" t="n"/>
      <c r="KWX71" s="451" t="n"/>
      <c r="KWY71" s="34" t="n"/>
      <c r="KWZ71" s="30" t="n"/>
      <c r="KXA71" s="138">
        <f>+KWW71-KWY71-KXA71</f>
        <v/>
      </c>
      <c r="KXB71" s="533" t="n"/>
      <c r="KXC71" s="515" t="inlineStr">
        <is>
          <t>SEGUROS</t>
        </is>
      </c>
      <c r="KXD71" s="534" t="inlineStr">
        <is>
          <t>RIMAC SEGUROS</t>
        </is>
      </c>
      <c r="KXE71" s="447" t="n"/>
      <c r="KXF71" s="529" t="n">
        <v>1086478942</v>
      </c>
      <c r="KXG71" s="518" t="n"/>
      <c r="KXH71" s="519" t="n"/>
      <c r="KXI71" s="519" t="n">
        <v>45341</v>
      </c>
      <c r="KXL71" s="137" t="n">
        <v>218.95</v>
      </c>
      <c r="KXM71" s="30" t="n"/>
      <c r="KXN71" s="451" t="n"/>
      <c r="KXO71" s="34" t="n"/>
      <c r="KXP71" s="30" t="n"/>
      <c r="KXQ71" s="138">
        <f>+KXM71-KXO71-KXQ71</f>
        <v/>
      </c>
      <c r="KXR71" s="533" t="n"/>
      <c r="KXS71" s="515" t="inlineStr">
        <is>
          <t>SEGUROS</t>
        </is>
      </c>
      <c r="KXT71" s="534" t="inlineStr">
        <is>
          <t>RIMAC SEGUROS</t>
        </is>
      </c>
      <c r="KXU71" s="447" t="n"/>
      <c r="KXV71" s="529" t="n">
        <v>1086478942</v>
      </c>
      <c r="KXW71" s="518" t="n"/>
      <c r="KXX71" s="519" t="n"/>
      <c r="KXY71" s="519" t="n">
        <v>45341</v>
      </c>
      <c r="KYB71" s="137" t="n">
        <v>218.95</v>
      </c>
      <c r="KYC71" s="30" t="n"/>
      <c r="KYD71" s="451" t="n"/>
      <c r="KYE71" s="34" t="n"/>
      <c r="KYF71" s="30" t="n"/>
      <c r="KYG71" s="138">
        <f>+KYC71-KYE71-KYG71</f>
        <v/>
      </c>
      <c r="KYH71" s="533" t="n"/>
      <c r="KYI71" s="515" t="inlineStr">
        <is>
          <t>SEGUROS</t>
        </is>
      </c>
      <c r="KYJ71" s="534" t="inlineStr">
        <is>
          <t>RIMAC SEGUROS</t>
        </is>
      </c>
      <c r="KYK71" s="447" t="n"/>
      <c r="KYL71" s="529" t="n">
        <v>1086478942</v>
      </c>
      <c r="KYM71" s="518" t="n"/>
      <c r="KYN71" s="519" t="n"/>
      <c r="KYO71" s="519" t="n">
        <v>45341</v>
      </c>
      <c r="KYR71" s="137" t="n">
        <v>218.95</v>
      </c>
      <c r="KYS71" s="30" t="n"/>
      <c r="KYT71" s="451" t="n"/>
      <c r="KYU71" s="34" t="n"/>
      <c r="KYV71" s="30" t="n"/>
      <c r="KYW71" s="138">
        <f>+KYS71-KYU71-KYW71</f>
        <v/>
      </c>
      <c r="KYX71" s="533" t="n"/>
      <c r="KYY71" s="515" t="inlineStr">
        <is>
          <t>SEGUROS</t>
        </is>
      </c>
      <c r="KYZ71" s="534" t="inlineStr">
        <is>
          <t>RIMAC SEGUROS</t>
        </is>
      </c>
      <c r="KZA71" s="447" t="n"/>
      <c r="KZB71" s="529" t="n">
        <v>1086478942</v>
      </c>
      <c r="KZC71" s="518" t="n"/>
      <c r="KZD71" s="519" t="n"/>
      <c r="KZE71" s="519" t="n">
        <v>45341</v>
      </c>
      <c r="KZH71" s="137" t="n">
        <v>218.95</v>
      </c>
      <c r="KZI71" s="30" t="n"/>
      <c r="KZJ71" s="451" t="n"/>
      <c r="KZK71" s="34" t="n"/>
      <c r="KZL71" s="30" t="n"/>
      <c r="KZM71" s="138">
        <f>+KZI71-KZK71-KZM71</f>
        <v/>
      </c>
      <c r="KZN71" s="533" t="n"/>
      <c r="KZO71" s="515" t="inlineStr">
        <is>
          <t>SEGUROS</t>
        </is>
      </c>
      <c r="KZP71" s="534" t="inlineStr">
        <is>
          <t>RIMAC SEGUROS</t>
        </is>
      </c>
      <c r="KZQ71" s="447" t="n"/>
      <c r="KZR71" s="529" t="n">
        <v>1086478942</v>
      </c>
      <c r="KZS71" s="518" t="n"/>
      <c r="KZT71" s="519" t="n"/>
      <c r="KZU71" s="519" t="n">
        <v>45341</v>
      </c>
      <c r="KZX71" s="137" t="n">
        <v>218.95</v>
      </c>
      <c r="KZY71" s="30" t="n"/>
      <c r="KZZ71" s="451" t="n"/>
      <c r="LAA71" s="34" t="n"/>
      <c r="LAB71" s="30" t="n"/>
      <c r="LAC71" s="138">
        <f>+KZY71-LAA71-LAC71</f>
        <v/>
      </c>
      <c r="LAD71" s="533" t="n"/>
      <c r="LAE71" s="515" t="inlineStr">
        <is>
          <t>SEGUROS</t>
        </is>
      </c>
      <c r="LAF71" s="534" t="inlineStr">
        <is>
          <t>RIMAC SEGUROS</t>
        </is>
      </c>
      <c r="LAG71" s="447" t="n"/>
      <c r="LAH71" s="529" t="n">
        <v>1086478942</v>
      </c>
      <c r="LAI71" s="518" t="n"/>
      <c r="LAJ71" s="519" t="n"/>
      <c r="LAK71" s="519" t="n">
        <v>45341</v>
      </c>
      <c r="LAN71" s="137" t="n">
        <v>218.95</v>
      </c>
      <c r="LAO71" s="30" t="n"/>
      <c r="LAP71" s="451" t="n"/>
      <c r="LAQ71" s="34" t="n"/>
      <c r="LAR71" s="30" t="n"/>
      <c r="LAS71" s="138">
        <f>+LAO71-LAQ71-LAS71</f>
        <v/>
      </c>
      <c r="LAT71" s="533" t="n"/>
      <c r="LAU71" s="515" t="inlineStr">
        <is>
          <t>SEGUROS</t>
        </is>
      </c>
      <c r="LAV71" s="534" t="inlineStr">
        <is>
          <t>RIMAC SEGUROS</t>
        </is>
      </c>
      <c r="LAW71" s="447" t="n"/>
      <c r="LAX71" s="529" t="n">
        <v>1086478942</v>
      </c>
      <c r="LAY71" s="518" t="n"/>
      <c r="LAZ71" s="519" t="n"/>
      <c r="LBA71" s="519" t="n">
        <v>45341</v>
      </c>
      <c r="LBD71" s="137" t="n">
        <v>218.95</v>
      </c>
      <c r="LBE71" s="30" t="n"/>
      <c r="LBF71" s="451" t="n"/>
      <c r="LBG71" s="34" t="n"/>
      <c r="LBH71" s="30" t="n"/>
      <c r="LBI71" s="138">
        <f>+LBE71-LBG71-LBI71</f>
        <v/>
      </c>
      <c r="LBJ71" s="533" t="n"/>
      <c r="LBK71" s="515" t="inlineStr">
        <is>
          <t>SEGUROS</t>
        </is>
      </c>
      <c r="LBL71" s="534" t="inlineStr">
        <is>
          <t>RIMAC SEGUROS</t>
        </is>
      </c>
      <c r="LBM71" s="447" t="n"/>
      <c r="LBN71" s="529" t="n">
        <v>1086478942</v>
      </c>
      <c r="LBO71" s="518" t="n"/>
      <c r="LBP71" s="519" t="n"/>
      <c r="LBQ71" s="519" t="n">
        <v>45341</v>
      </c>
      <c r="LBT71" s="137" t="n">
        <v>218.95</v>
      </c>
      <c r="LBU71" s="30" t="n"/>
      <c r="LBV71" s="451" t="n"/>
      <c r="LBW71" s="34" t="n"/>
      <c r="LBX71" s="30" t="n"/>
      <c r="LBY71" s="138">
        <f>+LBU71-LBW71-LBY71</f>
        <v/>
      </c>
      <c r="LBZ71" s="533" t="n"/>
      <c r="LCA71" s="515" t="inlineStr">
        <is>
          <t>SEGUROS</t>
        </is>
      </c>
      <c r="LCB71" s="534" t="inlineStr">
        <is>
          <t>RIMAC SEGUROS</t>
        </is>
      </c>
      <c r="LCC71" s="447" t="n"/>
      <c r="LCD71" s="529" t="n">
        <v>1086478942</v>
      </c>
      <c r="LCE71" s="518" t="n"/>
      <c r="LCF71" s="519" t="n"/>
      <c r="LCG71" s="519" t="n">
        <v>45341</v>
      </c>
      <c r="LCJ71" s="137" t="n">
        <v>218.95</v>
      </c>
      <c r="LCK71" s="30" t="n"/>
      <c r="LCL71" s="451" t="n"/>
      <c r="LCM71" s="34" t="n"/>
      <c r="LCN71" s="30" t="n"/>
      <c r="LCO71" s="138">
        <f>+LCK71-LCM71-LCO71</f>
        <v/>
      </c>
      <c r="LCP71" s="533" t="n"/>
      <c r="LCQ71" s="515" t="inlineStr">
        <is>
          <t>SEGUROS</t>
        </is>
      </c>
      <c r="LCR71" s="534" t="inlineStr">
        <is>
          <t>RIMAC SEGUROS</t>
        </is>
      </c>
      <c r="LCS71" s="447" t="n"/>
      <c r="LCT71" s="529" t="n">
        <v>1086478942</v>
      </c>
      <c r="LCU71" s="518" t="n"/>
      <c r="LCV71" s="519" t="n"/>
      <c r="LCW71" s="519" t="n">
        <v>45341</v>
      </c>
      <c r="LCZ71" s="137" t="n">
        <v>218.95</v>
      </c>
      <c r="LDA71" s="30" t="n"/>
      <c r="LDB71" s="451" t="n"/>
      <c r="LDC71" s="34" t="n"/>
      <c r="LDD71" s="30" t="n"/>
      <c r="LDE71" s="138">
        <f>+LDA71-LDC71-LDE71</f>
        <v/>
      </c>
      <c r="LDF71" s="533" t="n"/>
      <c r="LDG71" s="515" t="inlineStr">
        <is>
          <t>SEGUROS</t>
        </is>
      </c>
      <c r="LDH71" s="534" t="inlineStr">
        <is>
          <t>RIMAC SEGUROS</t>
        </is>
      </c>
      <c r="LDI71" s="447" t="n"/>
      <c r="LDJ71" s="529" t="n">
        <v>1086478942</v>
      </c>
      <c r="LDK71" s="518" t="n"/>
      <c r="LDL71" s="519" t="n"/>
      <c r="LDM71" s="519" t="n">
        <v>45341</v>
      </c>
      <c r="LDP71" s="137" t="n">
        <v>218.95</v>
      </c>
      <c r="LDQ71" s="30" t="n"/>
      <c r="LDR71" s="451" t="n"/>
      <c r="LDS71" s="34" t="n"/>
      <c r="LDT71" s="30" t="n"/>
      <c r="LDU71" s="138">
        <f>+LDQ71-LDS71-LDU71</f>
        <v/>
      </c>
      <c r="LDV71" s="533" t="n"/>
      <c r="LDW71" s="515" t="inlineStr">
        <is>
          <t>SEGUROS</t>
        </is>
      </c>
      <c r="LDX71" s="534" t="inlineStr">
        <is>
          <t>RIMAC SEGUROS</t>
        </is>
      </c>
      <c r="LDY71" s="447" t="n"/>
      <c r="LDZ71" s="529" t="n">
        <v>1086478942</v>
      </c>
      <c r="LEA71" s="518" t="n"/>
      <c r="LEB71" s="519" t="n"/>
      <c r="LEC71" s="519" t="n">
        <v>45341</v>
      </c>
      <c r="LEF71" s="137" t="n">
        <v>218.95</v>
      </c>
      <c r="LEG71" s="30" t="n"/>
      <c r="LEH71" s="451" t="n"/>
      <c r="LEI71" s="34" t="n"/>
      <c r="LEJ71" s="30" t="n"/>
      <c r="LEK71" s="138">
        <f>+LEG71-LEI71-LEK71</f>
        <v/>
      </c>
      <c r="LEL71" s="533" t="n"/>
      <c r="LEM71" s="515" t="inlineStr">
        <is>
          <t>SEGUROS</t>
        </is>
      </c>
      <c r="LEN71" s="534" t="inlineStr">
        <is>
          <t>RIMAC SEGUROS</t>
        </is>
      </c>
      <c r="LEO71" s="447" t="n"/>
      <c r="LEP71" s="529" t="n">
        <v>1086478942</v>
      </c>
      <c r="LEQ71" s="518" t="n"/>
      <c r="LER71" s="519" t="n"/>
      <c r="LES71" s="519" t="n">
        <v>45341</v>
      </c>
      <c r="LEV71" s="137" t="n">
        <v>218.95</v>
      </c>
      <c r="LEW71" s="30" t="n"/>
      <c r="LEX71" s="451" t="n"/>
      <c r="LEY71" s="34" t="n"/>
      <c r="LEZ71" s="30" t="n"/>
      <c r="LFA71" s="138">
        <f>+LEW71-LEY71-LFA71</f>
        <v/>
      </c>
      <c r="LFB71" s="533" t="n"/>
      <c r="LFC71" s="515" t="inlineStr">
        <is>
          <t>SEGUROS</t>
        </is>
      </c>
      <c r="LFD71" s="534" t="inlineStr">
        <is>
          <t>RIMAC SEGUROS</t>
        </is>
      </c>
      <c r="LFE71" s="447" t="n"/>
      <c r="LFF71" s="529" t="n">
        <v>1086478942</v>
      </c>
      <c r="LFG71" s="518" t="n"/>
      <c r="LFH71" s="519" t="n"/>
      <c r="LFI71" s="519" t="n">
        <v>45341</v>
      </c>
      <c r="LFL71" s="137" t="n">
        <v>218.95</v>
      </c>
      <c r="LFM71" s="30" t="n"/>
      <c r="LFN71" s="451" t="n"/>
      <c r="LFO71" s="34" t="n"/>
      <c r="LFP71" s="30" t="n"/>
      <c r="LFQ71" s="138">
        <f>+LFM71-LFO71-LFQ71</f>
        <v/>
      </c>
      <c r="LFR71" s="533" t="n"/>
      <c r="LFS71" s="515" t="inlineStr">
        <is>
          <t>SEGUROS</t>
        </is>
      </c>
      <c r="LFT71" s="534" t="inlineStr">
        <is>
          <t>RIMAC SEGUROS</t>
        </is>
      </c>
      <c r="LFU71" s="447" t="n"/>
      <c r="LFV71" s="529" t="n">
        <v>1086478942</v>
      </c>
      <c r="LFW71" s="518" t="n"/>
      <c r="LFX71" s="519" t="n"/>
      <c r="LFY71" s="519" t="n">
        <v>45341</v>
      </c>
      <c r="LGB71" s="137" t="n">
        <v>218.95</v>
      </c>
      <c r="LGC71" s="30" t="n"/>
      <c r="LGD71" s="451" t="n"/>
      <c r="LGE71" s="34" t="n"/>
      <c r="LGF71" s="30" t="n"/>
      <c r="LGG71" s="138">
        <f>+LGC71-LGE71-LGG71</f>
        <v/>
      </c>
      <c r="LGH71" s="533" t="n"/>
      <c r="LGI71" s="515" t="inlineStr">
        <is>
          <t>SEGUROS</t>
        </is>
      </c>
      <c r="LGJ71" s="534" t="inlineStr">
        <is>
          <t>RIMAC SEGUROS</t>
        </is>
      </c>
      <c r="LGK71" s="447" t="n"/>
      <c r="LGL71" s="529" t="n">
        <v>1086478942</v>
      </c>
      <c r="LGM71" s="518" t="n"/>
      <c r="LGN71" s="519" t="n"/>
      <c r="LGO71" s="519" t="n">
        <v>45341</v>
      </c>
      <c r="LGR71" s="137" t="n">
        <v>218.95</v>
      </c>
      <c r="LGS71" s="30" t="n"/>
      <c r="LGT71" s="451" t="n"/>
      <c r="LGU71" s="34" t="n"/>
      <c r="LGV71" s="30" t="n"/>
      <c r="LGW71" s="138">
        <f>+LGS71-LGU71-LGW71</f>
        <v/>
      </c>
      <c r="LGX71" s="533" t="n"/>
      <c r="LGY71" s="515" t="inlineStr">
        <is>
          <t>SEGUROS</t>
        </is>
      </c>
      <c r="LGZ71" s="534" t="inlineStr">
        <is>
          <t>RIMAC SEGUROS</t>
        </is>
      </c>
      <c r="LHA71" s="447" t="n"/>
      <c r="LHB71" s="529" t="n">
        <v>1086478942</v>
      </c>
      <c r="LHC71" s="518" t="n"/>
      <c r="LHD71" s="519" t="n"/>
      <c r="LHE71" s="519" t="n">
        <v>45341</v>
      </c>
      <c r="LHH71" s="137" t="n">
        <v>218.95</v>
      </c>
      <c r="LHI71" s="30" t="n"/>
      <c r="LHJ71" s="451" t="n"/>
      <c r="LHK71" s="34" t="n"/>
      <c r="LHL71" s="30" t="n"/>
      <c r="LHM71" s="138">
        <f>+LHI71-LHK71-LHM71</f>
        <v/>
      </c>
      <c r="LHN71" s="533" t="n"/>
      <c r="LHO71" s="515" t="inlineStr">
        <is>
          <t>SEGUROS</t>
        </is>
      </c>
      <c r="LHP71" s="534" t="inlineStr">
        <is>
          <t>RIMAC SEGUROS</t>
        </is>
      </c>
      <c r="LHQ71" s="447" t="n"/>
      <c r="LHR71" s="529" t="n">
        <v>1086478942</v>
      </c>
      <c r="LHS71" s="518" t="n"/>
      <c r="LHT71" s="519" t="n"/>
      <c r="LHU71" s="519" t="n">
        <v>45341</v>
      </c>
      <c r="LHX71" s="137" t="n">
        <v>218.95</v>
      </c>
      <c r="LHY71" s="30" t="n"/>
      <c r="LHZ71" s="451" t="n"/>
      <c r="LIA71" s="34" t="n"/>
      <c r="LIB71" s="30" t="n"/>
      <c r="LIC71" s="138">
        <f>+LHY71-LIA71-LIC71</f>
        <v/>
      </c>
      <c r="LID71" s="533" t="n"/>
      <c r="LIE71" s="515" t="inlineStr">
        <is>
          <t>SEGUROS</t>
        </is>
      </c>
      <c r="LIF71" s="534" t="inlineStr">
        <is>
          <t>RIMAC SEGUROS</t>
        </is>
      </c>
      <c r="LIG71" s="447" t="n"/>
      <c r="LIH71" s="529" t="n">
        <v>1086478942</v>
      </c>
      <c r="LII71" s="518" t="n"/>
      <c r="LIJ71" s="519" t="n"/>
      <c r="LIK71" s="519" t="n">
        <v>45341</v>
      </c>
      <c r="LIN71" s="137" t="n">
        <v>218.95</v>
      </c>
      <c r="LIO71" s="30" t="n"/>
      <c r="LIP71" s="451" t="n"/>
      <c r="LIQ71" s="34" t="n"/>
      <c r="LIR71" s="30" t="n"/>
      <c r="LIS71" s="138">
        <f>+LIO71-LIQ71-LIS71</f>
        <v/>
      </c>
      <c r="LIT71" s="533" t="n"/>
      <c r="LIU71" s="515" t="inlineStr">
        <is>
          <t>SEGUROS</t>
        </is>
      </c>
      <c r="LIV71" s="534" t="inlineStr">
        <is>
          <t>RIMAC SEGUROS</t>
        </is>
      </c>
      <c r="LIW71" s="447" t="n"/>
      <c r="LIX71" s="529" t="n">
        <v>1086478942</v>
      </c>
      <c r="LIY71" s="518" t="n"/>
      <c r="LIZ71" s="519" t="n"/>
      <c r="LJA71" s="519" t="n">
        <v>45341</v>
      </c>
      <c r="LJD71" s="137" t="n">
        <v>218.95</v>
      </c>
      <c r="LJE71" s="30" t="n"/>
      <c r="LJF71" s="451" t="n"/>
      <c r="LJG71" s="34" t="n"/>
      <c r="LJH71" s="30" t="n"/>
      <c r="LJI71" s="138">
        <f>+LJE71-LJG71-LJI71</f>
        <v/>
      </c>
      <c r="LJJ71" s="533" t="n"/>
      <c r="LJK71" s="515" t="inlineStr">
        <is>
          <t>SEGUROS</t>
        </is>
      </c>
      <c r="LJL71" s="534" t="inlineStr">
        <is>
          <t>RIMAC SEGUROS</t>
        </is>
      </c>
      <c r="LJM71" s="447" t="n"/>
      <c r="LJN71" s="529" t="n">
        <v>1086478942</v>
      </c>
      <c r="LJO71" s="518" t="n"/>
      <c r="LJP71" s="519" t="n"/>
      <c r="LJQ71" s="519" t="n">
        <v>45341</v>
      </c>
      <c r="LJT71" s="137" t="n">
        <v>218.95</v>
      </c>
      <c r="LJU71" s="30" t="n"/>
      <c r="LJV71" s="451" t="n"/>
      <c r="LJW71" s="34" t="n"/>
      <c r="LJX71" s="30" t="n"/>
      <c r="LJY71" s="138">
        <f>+LJU71-LJW71-LJY71</f>
        <v/>
      </c>
      <c r="LJZ71" s="533" t="n"/>
      <c r="LKA71" s="515" t="inlineStr">
        <is>
          <t>SEGUROS</t>
        </is>
      </c>
      <c r="LKB71" s="534" t="inlineStr">
        <is>
          <t>RIMAC SEGUROS</t>
        </is>
      </c>
      <c r="LKC71" s="447" t="n"/>
      <c r="LKD71" s="529" t="n">
        <v>1086478942</v>
      </c>
      <c r="LKE71" s="518" t="n"/>
      <c r="LKF71" s="519" t="n"/>
      <c r="LKG71" s="519" t="n">
        <v>45341</v>
      </c>
      <c r="LKJ71" s="137" t="n">
        <v>218.95</v>
      </c>
      <c r="LKK71" s="30" t="n"/>
      <c r="LKL71" s="451" t="n"/>
      <c r="LKM71" s="34" t="n"/>
      <c r="LKN71" s="30" t="n"/>
      <c r="LKO71" s="138">
        <f>+LKK71-LKM71-LKO71</f>
        <v/>
      </c>
      <c r="LKP71" s="533" t="n"/>
      <c r="LKQ71" s="515" t="inlineStr">
        <is>
          <t>SEGUROS</t>
        </is>
      </c>
      <c r="LKR71" s="534" t="inlineStr">
        <is>
          <t>RIMAC SEGUROS</t>
        </is>
      </c>
      <c r="LKS71" s="447" t="n"/>
      <c r="LKT71" s="529" t="n">
        <v>1086478942</v>
      </c>
      <c r="LKU71" s="518" t="n"/>
      <c r="LKV71" s="519" t="n"/>
      <c r="LKW71" s="519" t="n">
        <v>45341</v>
      </c>
      <c r="LKZ71" s="137" t="n">
        <v>218.95</v>
      </c>
      <c r="LLA71" s="30" t="n"/>
      <c r="LLB71" s="451" t="n"/>
      <c r="LLC71" s="34" t="n"/>
      <c r="LLD71" s="30" t="n"/>
      <c r="LLE71" s="138">
        <f>+LLA71-LLC71-LLE71</f>
        <v/>
      </c>
      <c r="LLF71" s="533" t="n"/>
      <c r="LLG71" s="515" t="inlineStr">
        <is>
          <t>SEGUROS</t>
        </is>
      </c>
      <c r="LLH71" s="534" t="inlineStr">
        <is>
          <t>RIMAC SEGUROS</t>
        </is>
      </c>
      <c r="LLI71" s="447" t="n"/>
      <c r="LLJ71" s="529" t="n">
        <v>1086478942</v>
      </c>
      <c r="LLK71" s="518" t="n"/>
      <c r="LLL71" s="519" t="n"/>
      <c r="LLM71" s="519" t="n">
        <v>45341</v>
      </c>
      <c r="LLP71" s="137" t="n">
        <v>218.95</v>
      </c>
      <c r="LLQ71" s="30" t="n"/>
      <c r="LLR71" s="451" t="n"/>
      <c r="LLS71" s="34" t="n"/>
      <c r="LLT71" s="30" t="n"/>
      <c r="LLU71" s="138">
        <f>+LLQ71-LLS71-LLU71</f>
        <v/>
      </c>
      <c r="LLV71" s="533" t="n"/>
      <c r="LLW71" s="515" t="inlineStr">
        <is>
          <t>SEGUROS</t>
        </is>
      </c>
      <c r="LLX71" s="534" t="inlineStr">
        <is>
          <t>RIMAC SEGUROS</t>
        </is>
      </c>
      <c r="LLY71" s="447" t="n"/>
      <c r="LLZ71" s="529" t="n">
        <v>1086478942</v>
      </c>
      <c r="LMA71" s="518" t="n"/>
      <c r="LMB71" s="519" t="n"/>
      <c r="LMC71" s="519" t="n">
        <v>45341</v>
      </c>
      <c r="LMF71" s="137" t="n">
        <v>218.95</v>
      </c>
      <c r="LMG71" s="30" t="n"/>
      <c r="LMH71" s="451" t="n"/>
      <c r="LMI71" s="34" t="n"/>
      <c r="LMJ71" s="30" t="n"/>
      <c r="LMK71" s="138">
        <f>+LMG71-LMI71-LMK71</f>
        <v/>
      </c>
      <c r="LML71" s="533" t="n"/>
      <c r="LMM71" s="515" t="inlineStr">
        <is>
          <t>SEGUROS</t>
        </is>
      </c>
      <c r="LMN71" s="534" t="inlineStr">
        <is>
          <t>RIMAC SEGUROS</t>
        </is>
      </c>
      <c r="LMO71" s="447" t="n"/>
      <c r="LMP71" s="529" t="n">
        <v>1086478942</v>
      </c>
      <c r="LMQ71" s="518" t="n"/>
      <c r="LMR71" s="519" t="n"/>
      <c r="LMS71" s="519" t="n">
        <v>45341</v>
      </c>
      <c r="LMV71" s="137" t="n">
        <v>218.95</v>
      </c>
      <c r="LMW71" s="30" t="n"/>
      <c r="LMX71" s="451" t="n"/>
      <c r="LMY71" s="34" t="n"/>
      <c r="LMZ71" s="30" t="n"/>
      <c r="LNA71" s="138">
        <f>+LMW71-LMY71-LNA71</f>
        <v/>
      </c>
      <c r="LNB71" s="533" t="n"/>
      <c r="LNC71" s="515" t="inlineStr">
        <is>
          <t>SEGUROS</t>
        </is>
      </c>
      <c r="LND71" s="534" t="inlineStr">
        <is>
          <t>RIMAC SEGUROS</t>
        </is>
      </c>
      <c r="LNE71" s="447" t="n"/>
      <c r="LNF71" s="529" t="n">
        <v>1086478942</v>
      </c>
      <c r="LNG71" s="518" t="n"/>
      <c r="LNH71" s="519" t="n"/>
      <c r="LNI71" s="519" t="n">
        <v>45341</v>
      </c>
      <c r="LNL71" s="137" t="n">
        <v>218.95</v>
      </c>
      <c r="LNM71" s="30" t="n"/>
      <c r="LNN71" s="451" t="n"/>
      <c r="LNO71" s="34" t="n"/>
      <c r="LNP71" s="30" t="n"/>
      <c r="LNQ71" s="138">
        <f>+LNM71-LNO71-LNQ71</f>
        <v/>
      </c>
      <c r="LNR71" s="533" t="n"/>
      <c r="LNS71" s="515" t="inlineStr">
        <is>
          <t>SEGUROS</t>
        </is>
      </c>
      <c r="LNT71" s="534" t="inlineStr">
        <is>
          <t>RIMAC SEGUROS</t>
        </is>
      </c>
      <c r="LNU71" s="447" t="n"/>
      <c r="LNV71" s="529" t="n">
        <v>1086478942</v>
      </c>
      <c r="LNW71" s="518" t="n"/>
      <c r="LNX71" s="519" t="n"/>
      <c r="LNY71" s="519" t="n">
        <v>45341</v>
      </c>
      <c r="LOB71" s="137" t="n">
        <v>218.95</v>
      </c>
      <c r="LOC71" s="30" t="n"/>
      <c r="LOD71" s="451" t="n"/>
      <c r="LOE71" s="34" t="n"/>
      <c r="LOF71" s="30" t="n"/>
      <c r="LOG71" s="138">
        <f>+LOC71-LOE71-LOG71</f>
        <v/>
      </c>
      <c r="LOH71" s="533" t="n"/>
      <c r="LOI71" s="515" t="inlineStr">
        <is>
          <t>SEGUROS</t>
        </is>
      </c>
      <c r="LOJ71" s="534" t="inlineStr">
        <is>
          <t>RIMAC SEGUROS</t>
        </is>
      </c>
      <c r="LOK71" s="447" t="n"/>
      <c r="LOL71" s="529" t="n">
        <v>1086478942</v>
      </c>
      <c r="LOM71" s="518" t="n"/>
      <c r="LON71" s="519" t="n"/>
      <c r="LOO71" s="519" t="n">
        <v>45341</v>
      </c>
      <c r="LOR71" s="137" t="n">
        <v>218.95</v>
      </c>
      <c r="LOS71" s="30" t="n"/>
      <c r="LOT71" s="451" t="n"/>
      <c r="LOU71" s="34" t="n"/>
      <c r="LOV71" s="30" t="n"/>
      <c r="LOW71" s="138">
        <f>+LOS71-LOU71-LOW71</f>
        <v/>
      </c>
      <c r="LOX71" s="533" t="n"/>
      <c r="LOY71" s="515" t="inlineStr">
        <is>
          <t>SEGUROS</t>
        </is>
      </c>
      <c r="LOZ71" s="534" t="inlineStr">
        <is>
          <t>RIMAC SEGUROS</t>
        </is>
      </c>
      <c r="LPA71" s="447" t="n"/>
      <c r="LPB71" s="529" t="n">
        <v>1086478942</v>
      </c>
      <c r="LPC71" s="518" t="n"/>
      <c r="LPD71" s="519" t="n"/>
      <c r="LPE71" s="519" t="n">
        <v>45341</v>
      </c>
      <c r="LPH71" s="137" t="n">
        <v>218.95</v>
      </c>
      <c r="LPI71" s="30" t="n"/>
      <c r="LPJ71" s="451" t="n"/>
      <c r="LPK71" s="34" t="n"/>
      <c r="LPL71" s="30" t="n"/>
      <c r="LPM71" s="138">
        <f>+LPI71-LPK71-LPM71</f>
        <v/>
      </c>
      <c r="LPN71" s="533" t="n"/>
      <c r="LPO71" s="515" t="inlineStr">
        <is>
          <t>SEGUROS</t>
        </is>
      </c>
      <c r="LPP71" s="534" t="inlineStr">
        <is>
          <t>RIMAC SEGUROS</t>
        </is>
      </c>
      <c r="LPQ71" s="447" t="n"/>
      <c r="LPR71" s="529" t="n">
        <v>1086478942</v>
      </c>
      <c r="LPS71" s="518" t="n"/>
      <c r="LPT71" s="519" t="n"/>
      <c r="LPU71" s="519" t="n">
        <v>45341</v>
      </c>
      <c r="LPX71" s="137" t="n">
        <v>218.95</v>
      </c>
      <c r="LPY71" s="30" t="n"/>
      <c r="LPZ71" s="451" t="n"/>
      <c r="LQA71" s="34" t="n"/>
      <c r="LQB71" s="30" t="n"/>
      <c r="LQC71" s="138">
        <f>+LPY71-LQA71-LQC71</f>
        <v/>
      </c>
      <c r="LQD71" s="533" t="n"/>
      <c r="LQE71" s="515" t="inlineStr">
        <is>
          <t>SEGUROS</t>
        </is>
      </c>
      <c r="LQF71" s="534" t="inlineStr">
        <is>
          <t>RIMAC SEGUROS</t>
        </is>
      </c>
      <c r="LQG71" s="447" t="n"/>
      <c r="LQH71" s="529" t="n">
        <v>1086478942</v>
      </c>
      <c r="LQI71" s="518" t="n"/>
      <c r="LQJ71" s="519" t="n"/>
      <c r="LQK71" s="519" t="n">
        <v>45341</v>
      </c>
      <c r="LQN71" s="137" t="n">
        <v>218.95</v>
      </c>
      <c r="LQO71" s="30" t="n"/>
      <c r="LQP71" s="451" t="n"/>
      <c r="LQQ71" s="34" t="n"/>
      <c r="LQR71" s="30" t="n"/>
      <c r="LQS71" s="138">
        <f>+LQO71-LQQ71-LQS71</f>
        <v/>
      </c>
      <c r="LQT71" s="533" t="n"/>
      <c r="LQU71" s="515" t="inlineStr">
        <is>
          <t>SEGUROS</t>
        </is>
      </c>
      <c r="LQV71" s="534" t="inlineStr">
        <is>
          <t>RIMAC SEGUROS</t>
        </is>
      </c>
      <c r="LQW71" s="447" t="n"/>
      <c r="LQX71" s="529" t="n">
        <v>1086478942</v>
      </c>
      <c r="LQY71" s="518" t="n"/>
      <c r="LQZ71" s="519" t="n"/>
      <c r="LRA71" s="519" t="n">
        <v>45341</v>
      </c>
      <c r="LRD71" s="137" t="n">
        <v>218.95</v>
      </c>
      <c r="LRE71" s="30" t="n"/>
      <c r="LRF71" s="451" t="n"/>
      <c r="LRG71" s="34" t="n"/>
      <c r="LRH71" s="30" t="n"/>
      <c r="LRI71" s="138">
        <f>+LRE71-LRG71-LRI71</f>
        <v/>
      </c>
      <c r="LRJ71" s="533" t="n"/>
      <c r="LRK71" s="515" t="inlineStr">
        <is>
          <t>SEGUROS</t>
        </is>
      </c>
      <c r="LRL71" s="534" t="inlineStr">
        <is>
          <t>RIMAC SEGUROS</t>
        </is>
      </c>
      <c r="LRM71" s="447" t="n"/>
      <c r="LRN71" s="529" t="n">
        <v>1086478942</v>
      </c>
      <c r="LRO71" s="518" t="n"/>
      <c r="LRP71" s="519" t="n"/>
      <c r="LRQ71" s="519" t="n">
        <v>45341</v>
      </c>
      <c r="LRT71" s="137" t="n">
        <v>218.95</v>
      </c>
      <c r="LRU71" s="30" t="n"/>
      <c r="LRV71" s="451" t="n"/>
      <c r="LRW71" s="34" t="n"/>
      <c r="LRX71" s="30" t="n"/>
      <c r="LRY71" s="138">
        <f>+LRU71-LRW71-LRY71</f>
        <v/>
      </c>
      <c r="LRZ71" s="533" t="n"/>
      <c r="LSA71" s="515" t="inlineStr">
        <is>
          <t>SEGUROS</t>
        </is>
      </c>
      <c r="LSB71" s="534" t="inlineStr">
        <is>
          <t>RIMAC SEGUROS</t>
        </is>
      </c>
      <c r="LSC71" s="447" t="n"/>
      <c r="LSD71" s="529" t="n">
        <v>1086478942</v>
      </c>
      <c r="LSE71" s="518" t="n"/>
      <c r="LSF71" s="519" t="n"/>
      <c r="LSG71" s="519" t="n">
        <v>45341</v>
      </c>
      <c r="LSJ71" s="137" t="n">
        <v>218.95</v>
      </c>
      <c r="LSK71" s="30" t="n"/>
      <c r="LSL71" s="451" t="n"/>
      <c r="LSM71" s="34" t="n"/>
      <c r="LSN71" s="30" t="n"/>
      <c r="LSO71" s="138">
        <f>+LSK71-LSM71-LSO71</f>
        <v/>
      </c>
      <c r="LSP71" s="533" t="n"/>
      <c r="LSQ71" s="515" t="inlineStr">
        <is>
          <t>SEGUROS</t>
        </is>
      </c>
      <c r="LSR71" s="534" t="inlineStr">
        <is>
          <t>RIMAC SEGUROS</t>
        </is>
      </c>
      <c r="LSS71" s="447" t="n"/>
      <c r="LST71" s="529" t="n">
        <v>1086478942</v>
      </c>
      <c r="LSU71" s="518" t="n"/>
      <c r="LSV71" s="519" t="n"/>
      <c r="LSW71" s="519" t="n">
        <v>45341</v>
      </c>
      <c r="LSZ71" s="137" t="n">
        <v>218.95</v>
      </c>
      <c r="LTA71" s="30" t="n"/>
      <c r="LTB71" s="451" t="n"/>
      <c r="LTC71" s="34" t="n"/>
      <c r="LTD71" s="30" t="n"/>
      <c r="LTE71" s="138">
        <f>+LTA71-LTC71-LTE71</f>
        <v/>
      </c>
      <c r="LTF71" s="533" t="n"/>
      <c r="LTG71" s="515" t="inlineStr">
        <is>
          <t>SEGUROS</t>
        </is>
      </c>
      <c r="LTH71" s="534" t="inlineStr">
        <is>
          <t>RIMAC SEGUROS</t>
        </is>
      </c>
      <c r="LTI71" s="447" t="n"/>
      <c r="LTJ71" s="529" t="n">
        <v>1086478942</v>
      </c>
      <c r="LTK71" s="518" t="n"/>
      <c r="LTL71" s="519" t="n"/>
      <c r="LTM71" s="519" t="n">
        <v>45341</v>
      </c>
      <c r="LTP71" s="137" t="n">
        <v>218.95</v>
      </c>
      <c r="LTQ71" s="30" t="n"/>
      <c r="LTR71" s="451" t="n"/>
      <c r="LTS71" s="34" t="n"/>
      <c r="LTT71" s="30" t="n"/>
      <c r="LTU71" s="138">
        <f>+LTQ71-LTS71-LTU71</f>
        <v/>
      </c>
      <c r="LTV71" s="533" t="n"/>
      <c r="LTW71" s="515" t="inlineStr">
        <is>
          <t>SEGUROS</t>
        </is>
      </c>
      <c r="LTX71" s="534" t="inlineStr">
        <is>
          <t>RIMAC SEGUROS</t>
        </is>
      </c>
      <c r="LTY71" s="447" t="n"/>
      <c r="LTZ71" s="529" t="n">
        <v>1086478942</v>
      </c>
      <c r="LUA71" s="518" t="n"/>
      <c r="LUB71" s="519" t="n"/>
      <c r="LUC71" s="519" t="n">
        <v>45341</v>
      </c>
      <c r="LUF71" s="137" t="n">
        <v>218.95</v>
      </c>
      <c r="LUG71" s="30" t="n"/>
      <c r="LUH71" s="451" t="n"/>
      <c r="LUI71" s="34" t="n"/>
      <c r="LUJ71" s="30" t="n"/>
      <c r="LUK71" s="138">
        <f>+LUG71-LUI71-LUK71</f>
        <v/>
      </c>
      <c r="LUL71" s="533" t="n"/>
      <c r="LUM71" s="515" t="inlineStr">
        <is>
          <t>SEGUROS</t>
        </is>
      </c>
      <c r="LUN71" s="534" t="inlineStr">
        <is>
          <t>RIMAC SEGUROS</t>
        </is>
      </c>
      <c r="LUO71" s="447" t="n"/>
      <c r="LUP71" s="529" t="n">
        <v>1086478942</v>
      </c>
      <c r="LUQ71" s="518" t="n"/>
      <c r="LUR71" s="519" t="n"/>
      <c r="LUS71" s="519" t="n">
        <v>45341</v>
      </c>
      <c r="LUV71" s="137" t="n">
        <v>218.95</v>
      </c>
      <c r="LUW71" s="30" t="n"/>
      <c r="LUX71" s="451" t="n"/>
      <c r="LUY71" s="34" t="n"/>
      <c r="LUZ71" s="30" t="n"/>
      <c r="LVA71" s="138">
        <f>+LUW71-LUY71-LVA71</f>
        <v/>
      </c>
      <c r="LVB71" s="533" t="n"/>
      <c r="LVC71" s="515" t="inlineStr">
        <is>
          <t>SEGUROS</t>
        </is>
      </c>
      <c r="LVD71" s="534" t="inlineStr">
        <is>
          <t>RIMAC SEGUROS</t>
        </is>
      </c>
      <c r="LVE71" s="447" t="n"/>
      <c r="LVF71" s="529" t="n">
        <v>1086478942</v>
      </c>
      <c r="LVG71" s="518" t="n"/>
      <c r="LVH71" s="519" t="n"/>
      <c r="LVI71" s="519" t="n">
        <v>45341</v>
      </c>
      <c r="LVL71" s="137" t="n">
        <v>218.95</v>
      </c>
      <c r="LVM71" s="30" t="n"/>
      <c r="LVN71" s="451" t="n"/>
      <c r="LVO71" s="34" t="n"/>
      <c r="LVP71" s="30" t="n"/>
      <c r="LVQ71" s="138">
        <f>+LVM71-LVO71-LVQ71</f>
        <v/>
      </c>
      <c r="LVR71" s="533" t="n"/>
      <c r="LVS71" s="515" t="inlineStr">
        <is>
          <t>SEGUROS</t>
        </is>
      </c>
      <c r="LVT71" s="534" t="inlineStr">
        <is>
          <t>RIMAC SEGUROS</t>
        </is>
      </c>
      <c r="LVU71" s="447" t="n"/>
      <c r="LVV71" s="529" t="n">
        <v>1086478942</v>
      </c>
      <c r="LVW71" s="518" t="n"/>
      <c r="LVX71" s="519" t="n"/>
      <c r="LVY71" s="519" t="n">
        <v>45341</v>
      </c>
      <c r="LWB71" s="137" t="n">
        <v>218.95</v>
      </c>
      <c r="LWC71" s="30" t="n"/>
      <c r="LWD71" s="451" t="n"/>
      <c r="LWE71" s="34" t="n"/>
      <c r="LWF71" s="30" t="n"/>
      <c r="LWG71" s="138">
        <f>+LWC71-LWE71-LWG71</f>
        <v/>
      </c>
      <c r="LWH71" s="533" t="n"/>
      <c r="LWI71" s="515" t="inlineStr">
        <is>
          <t>SEGUROS</t>
        </is>
      </c>
      <c r="LWJ71" s="534" t="inlineStr">
        <is>
          <t>RIMAC SEGUROS</t>
        </is>
      </c>
      <c r="LWK71" s="447" t="n"/>
      <c r="LWL71" s="529" t="n">
        <v>1086478942</v>
      </c>
      <c r="LWM71" s="518" t="n"/>
      <c r="LWN71" s="519" t="n"/>
      <c r="LWO71" s="519" t="n">
        <v>45341</v>
      </c>
      <c r="LWR71" s="137" t="n">
        <v>218.95</v>
      </c>
      <c r="LWS71" s="30" t="n"/>
      <c r="LWT71" s="451" t="n"/>
      <c r="LWU71" s="34" t="n"/>
      <c r="LWV71" s="30" t="n"/>
      <c r="LWW71" s="138">
        <f>+LWS71-LWU71-LWW71</f>
        <v/>
      </c>
      <c r="LWX71" s="533" t="n"/>
      <c r="LWY71" s="515" t="inlineStr">
        <is>
          <t>SEGUROS</t>
        </is>
      </c>
      <c r="LWZ71" s="534" t="inlineStr">
        <is>
          <t>RIMAC SEGUROS</t>
        </is>
      </c>
      <c r="LXA71" s="447" t="n"/>
      <c r="LXB71" s="529" t="n">
        <v>1086478942</v>
      </c>
      <c r="LXC71" s="518" t="n"/>
      <c r="LXD71" s="519" t="n"/>
      <c r="LXE71" s="519" t="n">
        <v>45341</v>
      </c>
      <c r="LXH71" s="137" t="n">
        <v>218.95</v>
      </c>
      <c r="LXI71" s="30" t="n"/>
      <c r="LXJ71" s="451" t="n"/>
      <c r="LXK71" s="34" t="n"/>
      <c r="LXL71" s="30" t="n"/>
      <c r="LXM71" s="138">
        <f>+LXI71-LXK71-LXM71</f>
        <v/>
      </c>
      <c r="LXN71" s="533" t="n"/>
      <c r="LXO71" s="515" t="inlineStr">
        <is>
          <t>SEGUROS</t>
        </is>
      </c>
      <c r="LXP71" s="534" t="inlineStr">
        <is>
          <t>RIMAC SEGUROS</t>
        </is>
      </c>
      <c r="LXQ71" s="447" t="n"/>
      <c r="LXR71" s="529" t="n">
        <v>1086478942</v>
      </c>
      <c r="LXS71" s="518" t="n"/>
      <c r="LXT71" s="519" t="n"/>
      <c r="LXU71" s="519" t="n">
        <v>45341</v>
      </c>
      <c r="LXX71" s="137" t="n">
        <v>218.95</v>
      </c>
      <c r="LXY71" s="30" t="n"/>
      <c r="LXZ71" s="451" t="n"/>
      <c r="LYA71" s="34" t="n"/>
      <c r="LYB71" s="30" t="n"/>
      <c r="LYC71" s="138">
        <f>+LXY71-LYA71-LYC71</f>
        <v/>
      </c>
      <c r="LYD71" s="533" t="n"/>
      <c r="LYE71" s="515" t="inlineStr">
        <is>
          <t>SEGUROS</t>
        </is>
      </c>
      <c r="LYF71" s="534" t="inlineStr">
        <is>
          <t>RIMAC SEGUROS</t>
        </is>
      </c>
      <c r="LYG71" s="447" t="n"/>
      <c r="LYH71" s="529" t="n">
        <v>1086478942</v>
      </c>
      <c r="LYI71" s="518" t="n"/>
      <c r="LYJ71" s="519" t="n"/>
      <c r="LYK71" s="519" t="n">
        <v>45341</v>
      </c>
      <c r="LYN71" s="137" t="n">
        <v>218.95</v>
      </c>
      <c r="LYO71" s="30" t="n"/>
      <c r="LYP71" s="451" t="n"/>
      <c r="LYQ71" s="34" t="n"/>
      <c r="LYR71" s="30" t="n"/>
      <c r="LYS71" s="138">
        <f>+LYO71-LYQ71-LYS71</f>
        <v/>
      </c>
      <c r="LYT71" s="533" t="n"/>
      <c r="LYU71" s="515" t="inlineStr">
        <is>
          <t>SEGUROS</t>
        </is>
      </c>
      <c r="LYV71" s="534" t="inlineStr">
        <is>
          <t>RIMAC SEGUROS</t>
        </is>
      </c>
      <c r="LYW71" s="447" t="n"/>
      <c r="LYX71" s="529" t="n">
        <v>1086478942</v>
      </c>
      <c r="LYY71" s="518" t="n"/>
      <c r="LYZ71" s="519" t="n"/>
      <c r="LZA71" s="519" t="n">
        <v>45341</v>
      </c>
      <c r="LZD71" s="137" t="n">
        <v>218.95</v>
      </c>
      <c r="LZE71" s="30" t="n"/>
      <c r="LZF71" s="451" t="n"/>
      <c r="LZG71" s="34" t="n"/>
      <c r="LZH71" s="30" t="n"/>
      <c r="LZI71" s="138">
        <f>+LZE71-LZG71-LZI71</f>
        <v/>
      </c>
      <c r="LZJ71" s="533" t="n"/>
      <c r="LZK71" s="515" t="inlineStr">
        <is>
          <t>SEGUROS</t>
        </is>
      </c>
      <c r="LZL71" s="534" t="inlineStr">
        <is>
          <t>RIMAC SEGUROS</t>
        </is>
      </c>
      <c r="LZM71" s="447" t="n"/>
      <c r="LZN71" s="529" t="n">
        <v>1086478942</v>
      </c>
      <c r="LZO71" s="518" t="n"/>
      <c r="LZP71" s="519" t="n"/>
      <c r="LZQ71" s="519" t="n">
        <v>45341</v>
      </c>
      <c r="LZT71" s="137" t="n">
        <v>218.95</v>
      </c>
      <c r="LZU71" s="30" t="n"/>
      <c r="LZV71" s="451" t="n"/>
      <c r="LZW71" s="34" t="n"/>
      <c r="LZX71" s="30" t="n"/>
      <c r="LZY71" s="138">
        <f>+LZU71-LZW71-LZY71</f>
        <v/>
      </c>
      <c r="LZZ71" s="533" t="n"/>
      <c r="MAA71" s="515" t="inlineStr">
        <is>
          <t>SEGUROS</t>
        </is>
      </c>
      <c r="MAB71" s="534" t="inlineStr">
        <is>
          <t>RIMAC SEGUROS</t>
        </is>
      </c>
      <c r="MAC71" s="447" t="n"/>
      <c r="MAD71" s="529" t="n">
        <v>1086478942</v>
      </c>
      <c r="MAE71" s="518" t="n"/>
      <c r="MAF71" s="519" t="n"/>
      <c r="MAG71" s="519" t="n">
        <v>45341</v>
      </c>
      <c r="MAJ71" s="137" t="n">
        <v>218.95</v>
      </c>
      <c r="MAK71" s="30" t="n"/>
      <c r="MAL71" s="451" t="n"/>
      <c r="MAM71" s="34" t="n"/>
      <c r="MAN71" s="30" t="n"/>
      <c r="MAO71" s="138">
        <f>+MAK71-MAM71-MAO71</f>
        <v/>
      </c>
      <c r="MAP71" s="533" t="n"/>
      <c r="MAQ71" s="515" t="inlineStr">
        <is>
          <t>SEGUROS</t>
        </is>
      </c>
      <c r="MAR71" s="534" t="inlineStr">
        <is>
          <t>RIMAC SEGUROS</t>
        </is>
      </c>
      <c r="MAS71" s="447" t="n"/>
      <c r="MAT71" s="529" t="n">
        <v>1086478942</v>
      </c>
      <c r="MAU71" s="518" t="n"/>
      <c r="MAV71" s="519" t="n"/>
      <c r="MAW71" s="519" t="n">
        <v>45341</v>
      </c>
      <c r="MAZ71" s="137" t="n">
        <v>218.95</v>
      </c>
      <c r="MBA71" s="30" t="n"/>
      <c r="MBB71" s="451" t="n"/>
      <c r="MBC71" s="34" t="n"/>
      <c r="MBD71" s="30" t="n"/>
      <c r="MBE71" s="138">
        <f>+MBA71-MBC71-MBE71</f>
        <v/>
      </c>
      <c r="MBF71" s="533" t="n"/>
      <c r="MBG71" s="515" t="inlineStr">
        <is>
          <t>SEGUROS</t>
        </is>
      </c>
      <c r="MBH71" s="534" t="inlineStr">
        <is>
          <t>RIMAC SEGUROS</t>
        </is>
      </c>
      <c r="MBI71" s="447" t="n"/>
      <c r="MBJ71" s="529" t="n">
        <v>1086478942</v>
      </c>
      <c r="MBK71" s="518" t="n"/>
      <c r="MBL71" s="519" t="n"/>
      <c r="MBM71" s="519" t="n">
        <v>45341</v>
      </c>
      <c r="MBP71" s="137" t="n">
        <v>218.95</v>
      </c>
      <c r="MBQ71" s="30" t="n"/>
      <c r="MBR71" s="451" t="n"/>
      <c r="MBS71" s="34" t="n"/>
      <c r="MBT71" s="30" t="n"/>
      <c r="MBU71" s="138">
        <f>+MBQ71-MBS71-MBU71</f>
        <v/>
      </c>
      <c r="MBV71" s="533" t="n"/>
      <c r="MBW71" s="515" t="inlineStr">
        <is>
          <t>SEGUROS</t>
        </is>
      </c>
      <c r="MBX71" s="534" t="inlineStr">
        <is>
          <t>RIMAC SEGUROS</t>
        </is>
      </c>
      <c r="MBY71" s="447" t="n"/>
      <c r="MBZ71" s="529" t="n">
        <v>1086478942</v>
      </c>
      <c r="MCA71" s="518" t="n"/>
      <c r="MCB71" s="519" t="n"/>
      <c r="MCC71" s="519" t="n">
        <v>45341</v>
      </c>
      <c r="MCF71" s="137" t="n">
        <v>218.95</v>
      </c>
      <c r="MCG71" s="30" t="n"/>
      <c r="MCH71" s="451" t="n"/>
      <c r="MCI71" s="34" t="n"/>
      <c r="MCJ71" s="30" t="n"/>
      <c r="MCK71" s="138">
        <f>+MCG71-MCI71-MCK71</f>
        <v/>
      </c>
      <c r="MCL71" s="533" t="n"/>
      <c r="MCM71" s="515" t="inlineStr">
        <is>
          <t>SEGUROS</t>
        </is>
      </c>
      <c r="MCN71" s="534" t="inlineStr">
        <is>
          <t>RIMAC SEGUROS</t>
        </is>
      </c>
      <c r="MCO71" s="447" t="n"/>
      <c r="MCP71" s="529" t="n">
        <v>1086478942</v>
      </c>
      <c r="MCQ71" s="518" t="n"/>
      <c r="MCR71" s="519" t="n"/>
      <c r="MCS71" s="519" t="n">
        <v>45341</v>
      </c>
      <c r="MCV71" s="137" t="n">
        <v>218.95</v>
      </c>
      <c r="MCW71" s="30" t="n"/>
      <c r="MCX71" s="451" t="n"/>
      <c r="MCY71" s="34" t="n"/>
      <c r="MCZ71" s="30" t="n"/>
      <c r="MDA71" s="138">
        <f>+MCW71-MCY71-MDA71</f>
        <v/>
      </c>
      <c r="MDB71" s="533" t="n"/>
      <c r="MDC71" s="515" t="inlineStr">
        <is>
          <t>SEGUROS</t>
        </is>
      </c>
      <c r="MDD71" s="534" t="inlineStr">
        <is>
          <t>RIMAC SEGUROS</t>
        </is>
      </c>
      <c r="MDE71" s="447" t="n"/>
      <c r="MDF71" s="529" t="n">
        <v>1086478942</v>
      </c>
      <c r="MDG71" s="518" t="n"/>
      <c r="MDH71" s="519" t="n"/>
      <c r="MDI71" s="519" t="n">
        <v>45341</v>
      </c>
      <c r="MDL71" s="137" t="n">
        <v>218.95</v>
      </c>
      <c r="MDM71" s="30" t="n"/>
      <c r="MDN71" s="451" t="n"/>
      <c r="MDO71" s="34" t="n"/>
      <c r="MDP71" s="30" t="n"/>
      <c r="MDQ71" s="138">
        <f>+MDM71-MDO71-MDQ71</f>
        <v/>
      </c>
      <c r="MDR71" s="533" t="n"/>
      <c r="MDS71" s="515" t="inlineStr">
        <is>
          <t>SEGUROS</t>
        </is>
      </c>
      <c r="MDT71" s="534" t="inlineStr">
        <is>
          <t>RIMAC SEGUROS</t>
        </is>
      </c>
      <c r="MDU71" s="447" t="n"/>
      <c r="MDV71" s="529" t="n">
        <v>1086478942</v>
      </c>
      <c r="MDW71" s="518" t="n"/>
      <c r="MDX71" s="519" t="n"/>
      <c r="MDY71" s="519" t="n">
        <v>45341</v>
      </c>
      <c r="MEB71" s="137" t="n">
        <v>218.95</v>
      </c>
      <c r="MEC71" s="30" t="n"/>
      <c r="MED71" s="451" t="n"/>
      <c r="MEE71" s="34" t="n"/>
      <c r="MEF71" s="30" t="n"/>
      <c r="MEG71" s="138">
        <f>+MEC71-MEE71-MEG71</f>
        <v/>
      </c>
      <c r="MEH71" s="533" t="n"/>
      <c r="MEI71" s="515" t="inlineStr">
        <is>
          <t>SEGUROS</t>
        </is>
      </c>
      <c r="MEJ71" s="534" t="inlineStr">
        <is>
          <t>RIMAC SEGUROS</t>
        </is>
      </c>
      <c r="MEK71" s="447" t="n"/>
      <c r="MEL71" s="529" t="n">
        <v>1086478942</v>
      </c>
      <c r="MEM71" s="518" t="n"/>
      <c r="MEN71" s="519" t="n"/>
      <c r="MEO71" s="519" t="n">
        <v>45341</v>
      </c>
      <c r="MER71" s="137" t="n">
        <v>218.95</v>
      </c>
      <c r="MES71" s="30" t="n"/>
      <c r="MET71" s="451" t="n"/>
      <c r="MEU71" s="34" t="n"/>
      <c r="MEV71" s="30" t="n"/>
      <c r="MEW71" s="138">
        <f>+MES71-MEU71-MEW71</f>
        <v/>
      </c>
      <c r="MEX71" s="533" t="n"/>
      <c r="MEY71" s="515" t="inlineStr">
        <is>
          <t>SEGUROS</t>
        </is>
      </c>
      <c r="MEZ71" s="534" t="inlineStr">
        <is>
          <t>RIMAC SEGUROS</t>
        </is>
      </c>
      <c r="MFA71" s="447" t="n"/>
      <c r="MFB71" s="529" t="n">
        <v>1086478942</v>
      </c>
      <c r="MFC71" s="518" t="n"/>
      <c r="MFD71" s="519" t="n"/>
      <c r="MFE71" s="519" t="n">
        <v>45341</v>
      </c>
      <c r="MFH71" s="137" t="n">
        <v>218.95</v>
      </c>
      <c r="MFI71" s="30" t="n"/>
      <c r="MFJ71" s="451" t="n"/>
      <c r="MFK71" s="34" t="n"/>
      <c r="MFL71" s="30" t="n"/>
      <c r="MFM71" s="138">
        <f>+MFI71-MFK71-MFM71</f>
        <v/>
      </c>
      <c r="MFN71" s="533" t="n"/>
      <c r="MFO71" s="515" t="inlineStr">
        <is>
          <t>SEGUROS</t>
        </is>
      </c>
      <c r="MFP71" s="534" t="inlineStr">
        <is>
          <t>RIMAC SEGUROS</t>
        </is>
      </c>
      <c r="MFQ71" s="447" t="n"/>
      <c r="MFR71" s="529" t="n">
        <v>1086478942</v>
      </c>
      <c r="MFS71" s="518" t="n"/>
      <c r="MFT71" s="519" t="n"/>
      <c r="MFU71" s="519" t="n">
        <v>45341</v>
      </c>
      <c r="MFX71" s="137" t="n">
        <v>218.95</v>
      </c>
      <c r="MFY71" s="30" t="n"/>
      <c r="MFZ71" s="451" t="n"/>
      <c r="MGA71" s="34" t="n"/>
      <c r="MGB71" s="30" t="n"/>
      <c r="MGC71" s="138">
        <f>+MFY71-MGA71-MGC71</f>
        <v/>
      </c>
      <c r="MGD71" s="533" t="n"/>
      <c r="MGE71" s="515" t="inlineStr">
        <is>
          <t>SEGUROS</t>
        </is>
      </c>
      <c r="MGF71" s="534" t="inlineStr">
        <is>
          <t>RIMAC SEGUROS</t>
        </is>
      </c>
      <c r="MGG71" s="447" t="n"/>
      <c r="MGH71" s="529" t="n">
        <v>1086478942</v>
      </c>
      <c r="MGI71" s="518" t="n"/>
      <c r="MGJ71" s="519" t="n"/>
      <c r="MGK71" s="519" t="n">
        <v>45341</v>
      </c>
      <c r="MGN71" s="137" t="n">
        <v>218.95</v>
      </c>
      <c r="MGO71" s="30" t="n"/>
      <c r="MGP71" s="451" t="n"/>
      <c r="MGQ71" s="34" t="n"/>
      <c r="MGR71" s="30" t="n"/>
      <c r="MGS71" s="138">
        <f>+MGO71-MGQ71-MGS71</f>
        <v/>
      </c>
      <c r="MGT71" s="533" t="n"/>
      <c r="MGU71" s="515" t="inlineStr">
        <is>
          <t>SEGUROS</t>
        </is>
      </c>
      <c r="MGV71" s="534" t="inlineStr">
        <is>
          <t>RIMAC SEGUROS</t>
        </is>
      </c>
      <c r="MGW71" s="447" t="n"/>
      <c r="MGX71" s="529" t="n">
        <v>1086478942</v>
      </c>
      <c r="MGY71" s="518" t="n"/>
      <c r="MGZ71" s="519" t="n"/>
      <c r="MHA71" s="519" t="n">
        <v>45341</v>
      </c>
      <c r="MHD71" s="137" t="n">
        <v>218.95</v>
      </c>
      <c r="MHE71" s="30" t="n"/>
      <c r="MHF71" s="451" t="n"/>
      <c r="MHG71" s="34" t="n"/>
      <c r="MHH71" s="30" t="n"/>
      <c r="MHI71" s="138">
        <f>+MHE71-MHG71-MHI71</f>
        <v/>
      </c>
      <c r="MHJ71" s="533" t="n"/>
      <c r="MHK71" s="515" t="inlineStr">
        <is>
          <t>SEGUROS</t>
        </is>
      </c>
      <c r="MHL71" s="534" t="inlineStr">
        <is>
          <t>RIMAC SEGUROS</t>
        </is>
      </c>
      <c r="MHM71" s="447" t="n"/>
      <c r="MHN71" s="529" t="n">
        <v>1086478942</v>
      </c>
      <c r="MHO71" s="518" t="n"/>
      <c r="MHP71" s="519" t="n"/>
      <c r="MHQ71" s="519" t="n">
        <v>45341</v>
      </c>
      <c r="MHT71" s="137" t="n">
        <v>218.95</v>
      </c>
      <c r="MHU71" s="30" t="n"/>
      <c r="MHV71" s="451" t="n"/>
      <c r="MHW71" s="34" t="n"/>
      <c r="MHX71" s="30" t="n"/>
      <c r="MHY71" s="138">
        <f>+MHU71-MHW71-MHY71</f>
        <v/>
      </c>
      <c r="MHZ71" s="533" t="n"/>
      <c r="MIA71" s="515" t="inlineStr">
        <is>
          <t>SEGUROS</t>
        </is>
      </c>
      <c r="MIB71" s="534" t="inlineStr">
        <is>
          <t>RIMAC SEGUROS</t>
        </is>
      </c>
      <c r="MIC71" s="447" t="n"/>
      <c r="MID71" s="529" t="n">
        <v>1086478942</v>
      </c>
      <c r="MIE71" s="518" t="n"/>
      <c r="MIF71" s="519" t="n"/>
      <c r="MIG71" s="519" t="n">
        <v>45341</v>
      </c>
      <c r="MIJ71" s="137" t="n">
        <v>218.95</v>
      </c>
      <c r="MIK71" s="30" t="n"/>
      <c r="MIL71" s="451" t="n"/>
      <c r="MIM71" s="34" t="n"/>
      <c r="MIN71" s="30" t="n"/>
      <c r="MIO71" s="138">
        <f>+MIK71-MIM71-MIO71</f>
        <v/>
      </c>
      <c r="MIP71" s="533" t="n"/>
      <c r="MIQ71" s="515" t="inlineStr">
        <is>
          <t>SEGUROS</t>
        </is>
      </c>
      <c r="MIR71" s="534" t="inlineStr">
        <is>
          <t>RIMAC SEGUROS</t>
        </is>
      </c>
      <c r="MIS71" s="447" t="n"/>
      <c r="MIT71" s="529" t="n">
        <v>1086478942</v>
      </c>
      <c r="MIU71" s="518" t="n"/>
      <c r="MIV71" s="519" t="n"/>
      <c r="MIW71" s="519" t="n">
        <v>45341</v>
      </c>
      <c r="MIZ71" s="137" t="n">
        <v>218.95</v>
      </c>
      <c r="MJA71" s="30" t="n"/>
      <c r="MJB71" s="451" t="n"/>
      <c r="MJC71" s="34" t="n"/>
      <c r="MJD71" s="30" t="n"/>
      <c r="MJE71" s="138">
        <f>+MJA71-MJC71-MJE71</f>
        <v/>
      </c>
      <c r="MJF71" s="533" t="n"/>
      <c r="MJG71" s="515" t="inlineStr">
        <is>
          <t>SEGUROS</t>
        </is>
      </c>
      <c r="MJH71" s="534" t="inlineStr">
        <is>
          <t>RIMAC SEGUROS</t>
        </is>
      </c>
      <c r="MJI71" s="447" t="n"/>
      <c r="MJJ71" s="529" t="n">
        <v>1086478942</v>
      </c>
      <c r="MJK71" s="518" t="n"/>
      <c r="MJL71" s="519" t="n"/>
      <c r="MJM71" s="519" t="n">
        <v>45341</v>
      </c>
      <c r="MJP71" s="137" t="n">
        <v>218.95</v>
      </c>
      <c r="MJQ71" s="30" t="n"/>
      <c r="MJR71" s="451" t="n"/>
      <c r="MJS71" s="34" t="n"/>
      <c r="MJT71" s="30" t="n"/>
      <c r="MJU71" s="138">
        <f>+MJQ71-MJS71-MJU71</f>
        <v/>
      </c>
      <c r="MJV71" s="533" t="n"/>
      <c r="MJW71" s="515" t="inlineStr">
        <is>
          <t>SEGUROS</t>
        </is>
      </c>
      <c r="MJX71" s="534" t="inlineStr">
        <is>
          <t>RIMAC SEGUROS</t>
        </is>
      </c>
      <c r="MJY71" s="447" t="n"/>
      <c r="MJZ71" s="529" t="n">
        <v>1086478942</v>
      </c>
      <c r="MKA71" s="518" t="n"/>
      <c r="MKB71" s="519" t="n"/>
      <c r="MKC71" s="519" t="n">
        <v>45341</v>
      </c>
      <c r="MKF71" s="137" t="n">
        <v>218.95</v>
      </c>
      <c r="MKG71" s="30" t="n"/>
      <c r="MKH71" s="451" t="n"/>
      <c r="MKI71" s="34" t="n"/>
      <c r="MKJ71" s="30" t="n"/>
      <c r="MKK71" s="138">
        <f>+MKG71-MKI71-MKK71</f>
        <v/>
      </c>
      <c r="MKL71" s="533" t="n"/>
      <c r="MKM71" s="515" t="inlineStr">
        <is>
          <t>SEGUROS</t>
        </is>
      </c>
      <c r="MKN71" s="534" t="inlineStr">
        <is>
          <t>RIMAC SEGUROS</t>
        </is>
      </c>
      <c r="MKO71" s="447" t="n"/>
      <c r="MKP71" s="529" t="n">
        <v>1086478942</v>
      </c>
      <c r="MKQ71" s="518" t="n"/>
      <c r="MKR71" s="519" t="n"/>
      <c r="MKS71" s="519" t="n">
        <v>45341</v>
      </c>
      <c r="MKV71" s="137" t="n">
        <v>218.95</v>
      </c>
      <c r="MKW71" s="30" t="n"/>
      <c r="MKX71" s="451" t="n"/>
      <c r="MKY71" s="34" t="n"/>
      <c r="MKZ71" s="30" t="n"/>
      <c r="MLA71" s="138">
        <f>+MKW71-MKY71-MLA71</f>
        <v/>
      </c>
      <c r="MLB71" s="533" t="n"/>
      <c r="MLC71" s="515" t="inlineStr">
        <is>
          <t>SEGUROS</t>
        </is>
      </c>
      <c r="MLD71" s="534" t="inlineStr">
        <is>
          <t>RIMAC SEGUROS</t>
        </is>
      </c>
      <c r="MLE71" s="447" t="n"/>
      <c r="MLF71" s="529" t="n">
        <v>1086478942</v>
      </c>
      <c r="MLG71" s="518" t="n"/>
      <c r="MLH71" s="519" t="n"/>
      <c r="MLI71" s="519" t="n">
        <v>45341</v>
      </c>
      <c r="MLL71" s="137" t="n">
        <v>218.95</v>
      </c>
      <c r="MLM71" s="30" t="n"/>
      <c r="MLN71" s="451" t="n"/>
      <c r="MLO71" s="34" t="n"/>
      <c r="MLP71" s="30" t="n"/>
      <c r="MLQ71" s="138">
        <f>+MLM71-MLO71-MLQ71</f>
        <v/>
      </c>
      <c r="MLR71" s="533" t="n"/>
      <c r="MLS71" s="515" t="inlineStr">
        <is>
          <t>SEGUROS</t>
        </is>
      </c>
      <c r="MLT71" s="534" t="inlineStr">
        <is>
          <t>RIMAC SEGUROS</t>
        </is>
      </c>
      <c r="MLU71" s="447" t="n"/>
      <c r="MLV71" s="529" t="n">
        <v>1086478942</v>
      </c>
      <c r="MLW71" s="518" t="n"/>
      <c r="MLX71" s="519" t="n"/>
      <c r="MLY71" s="519" t="n">
        <v>45341</v>
      </c>
      <c r="MMB71" s="137" t="n">
        <v>218.95</v>
      </c>
      <c r="MMC71" s="30" t="n"/>
      <c r="MMD71" s="451" t="n"/>
      <c r="MME71" s="34" t="n"/>
      <c r="MMF71" s="30" t="n"/>
      <c r="MMG71" s="138">
        <f>+MMC71-MME71-MMG71</f>
        <v/>
      </c>
      <c r="MMH71" s="533" t="n"/>
      <c r="MMI71" s="515" t="inlineStr">
        <is>
          <t>SEGUROS</t>
        </is>
      </c>
      <c r="MMJ71" s="534" t="inlineStr">
        <is>
          <t>RIMAC SEGUROS</t>
        </is>
      </c>
      <c r="MMK71" s="447" t="n"/>
      <c r="MML71" s="529" t="n">
        <v>1086478942</v>
      </c>
      <c r="MMM71" s="518" t="n"/>
      <c r="MMN71" s="519" t="n"/>
      <c r="MMO71" s="519" t="n">
        <v>45341</v>
      </c>
      <c r="MMR71" s="137" t="n">
        <v>218.95</v>
      </c>
      <c r="MMS71" s="30" t="n"/>
      <c r="MMT71" s="451" t="n"/>
      <c r="MMU71" s="34" t="n"/>
      <c r="MMV71" s="30" t="n"/>
      <c r="MMW71" s="138">
        <f>+MMS71-MMU71-MMW71</f>
        <v/>
      </c>
      <c r="MMX71" s="533" t="n"/>
      <c r="MMY71" s="515" t="inlineStr">
        <is>
          <t>SEGUROS</t>
        </is>
      </c>
      <c r="MMZ71" s="534" t="inlineStr">
        <is>
          <t>RIMAC SEGUROS</t>
        </is>
      </c>
      <c r="MNA71" s="447" t="n"/>
      <c r="MNB71" s="529" t="n">
        <v>1086478942</v>
      </c>
      <c r="MNC71" s="518" t="n"/>
      <c r="MND71" s="519" t="n"/>
      <c r="MNE71" s="519" t="n">
        <v>45341</v>
      </c>
      <c r="MNH71" s="137" t="n">
        <v>218.95</v>
      </c>
      <c r="MNI71" s="30" t="n"/>
      <c r="MNJ71" s="451" t="n"/>
      <c r="MNK71" s="34" t="n"/>
      <c r="MNL71" s="30" t="n"/>
      <c r="MNM71" s="138">
        <f>+MNI71-MNK71-MNM71</f>
        <v/>
      </c>
      <c r="MNN71" s="533" t="n"/>
      <c r="MNO71" s="515" t="inlineStr">
        <is>
          <t>SEGUROS</t>
        </is>
      </c>
      <c r="MNP71" s="534" t="inlineStr">
        <is>
          <t>RIMAC SEGUROS</t>
        </is>
      </c>
      <c r="MNQ71" s="447" t="n"/>
      <c r="MNR71" s="529" t="n">
        <v>1086478942</v>
      </c>
      <c r="MNS71" s="518" t="n"/>
      <c r="MNT71" s="519" t="n"/>
      <c r="MNU71" s="519" t="n">
        <v>45341</v>
      </c>
      <c r="MNX71" s="137" t="n">
        <v>218.95</v>
      </c>
      <c r="MNY71" s="30" t="n"/>
      <c r="MNZ71" s="451" t="n"/>
      <c r="MOA71" s="34" t="n"/>
      <c r="MOB71" s="30" t="n"/>
      <c r="MOC71" s="138">
        <f>+MNY71-MOA71-MOC71</f>
        <v/>
      </c>
      <c r="MOD71" s="533" t="n"/>
      <c r="MOE71" s="515" t="inlineStr">
        <is>
          <t>SEGUROS</t>
        </is>
      </c>
      <c r="MOF71" s="534" t="inlineStr">
        <is>
          <t>RIMAC SEGUROS</t>
        </is>
      </c>
      <c r="MOG71" s="447" t="n"/>
      <c r="MOH71" s="529" t="n">
        <v>1086478942</v>
      </c>
      <c r="MOI71" s="518" t="n"/>
      <c r="MOJ71" s="519" t="n"/>
      <c r="MOK71" s="519" t="n">
        <v>45341</v>
      </c>
      <c r="MON71" s="137" t="n">
        <v>218.95</v>
      </c>
      <c r="MOO71" s="30" t="n"/>
      <c r="MOP71" s="451" t="n"/>
      <c r="MOQ71" s="34" t="n"/>
      <c r="MOR71" s="30" t="n"/>
      <c r="MOS71" s="138">
        <f>+MOO71-MOQ71-MOS71</f>
        <v/>
      </c>
      <c r="MOT71" s="533" t="n"/>
      <c r="MOU71" s="515" t="inlineStr">
        <is>
          <t>SEGUROS</t>
        </is>
      </c>
      <c r="MOV71" s="534" t="inlineStr">
        <is>
          <t>RIMAC SEGUROS</t>
        </is>
      </c>
      <c r="MOW71" s="447" t="n"/>
      <c r="MOX71" s="529" t="n">
        <v>1086478942</v>
      </c>
      <c r="MOY71" s="518" t="n"/>
      <c r="MOZ71" s="519" t="n"/>
      <c r="MPA71" s="519" t="n">
        <v>45341</v>
      </c>
      <c r="MPD71" s="137" t="n">
        <v>218.95</v>
      </c>
      <c r="MPE71" s="30" t="n"/>
      <c r="MPF71" s="451" t="n"/>
      <c r="MPG71" s="34" t="n"/>
      <c r="MPH71" s="30" t="n"/>
      <c r="MPI71" s="138">
        <f>+MPE71-MPG71-MPI71</f>
        <v/>
      </c>
      <c r="MPJ71" s="533" t="n"/>
      <c r="MPK71" s="515" t="inlineStr">
        <is>
          <t>SEGUROS</t>
        </is>
      </c>
      <c r="MPL71" s="534" t="inlineStr">
        <is>
          <t>RIMAC SEGUROS</t>
        </is>
      </c>
      <c r="MPM71" s="447" t="n"/>
      <c r="MPN71" s="529" t="n">
        <v>1086478942</v>
      </c>
      <c r="MPO71" s="518" t="n"/>
      <c r="MPP71" s="519" t="n"/>
      <c r="MPQ71" s="519" t="n">
        <v>45341</v>
      </c>
      <c r="MPT71" s="137" t="n">
        <v>218.95</v>
      </c>
      <c r="MPU71" s="30" t="n"/>
      <c r="MPV71" s="451" t="n"/>
      <c r="MPW71" s="34" t="n"/>
      <c r="MPX71" s="30" t="n"/>
      <c r="MPY71" s="138">
        <f>+MPU71-MPW71-MPY71</f>
        <v/>
      </c>
      <c r="MPZ71" s="533" t="n"/>
      <c r="MQA71" s="515" t="inlineStr">
        <is>
          <t>SEGUROS</t>
        </is>
      </c>
      <c r="MQB71" s="534" t="inlineStr">
        <is>
          <t>RIMAC SEGUROS</t>
        </is>
      </c>
      <c r="MQC71" s="447" t="n"/>
      <c r="MQD71" s="529" t="n">
        <v>1086478942</v>
      </c>
      <c r="MQE71" s="518" t="n"/>
      <c r="MQF71" s="519" t="n"/>
      <c r="MQG71" s="519" t="n">
        <v>45341</v>
      </c>
      <c r="MQJ71" s="137" t="n">
        <v>218.95</v>
      </c>
      <c r="MQK71" s="30" t="n"/>
      <c r="MQL71" s="451" t="n"/>
      <c r="MQM71" s="34" t="n"/>
      <c r="MQN71" s="30" t="n"/>
      <c r="MQO71" s="138">
        <f>+MQK71-MQM71-MQO71</f>
        <v/>
      </c>
      <c r="MQP71" s="533" t="n"/>
      <c r="MQQ71" s="515" t="inlineStr">
        <is>
          <t>SEGUROS</t>
        </is>
      </c>
      <c r="MQR71" s="534" t="inlineStr">
        <is>
          <t>RIMAC SEGUROS</t>
        </is>
      </c>
      <c r="MQS71" s="447" t="n"/>
      <c r="MQT71" s="529" t="n">
        <v>1086478942</v>
      </c>
      <c r="MQU71" s="518" t="n"/>
      <c r="MQV71" s="519" t="n"/>
      <c r="MQW71" s="519" t="n">
        <v>45341</v>
      </c>
      <c r="MQZ71" s="137" t="n">
        <v>218.95</v>
      </c>
      <c r="MRA71" s="30" t="n"/>
      <c r="MRB71" s="451" t="n"/>
      <c r="MRC71" s="34" t="n"/>
      <c r="MRD71" s="30" t="n"/>
      <c r="MRE71" s="138">
        <f>+MRA71-MRC71-MRE71</f>
        <v/>
      </c>
      <c r="MRF71" s="533" t="n"/>
      <c r="MRG71" s="515" t="inlineStr">
        <is>
          <t>SEGUROS</t>
        </is>
      </c>
      <c r="MRH71" s="534" t="inlineStr">
        <is>
          <t>RIMAC SEGUROS</t>
        </is>
      </c>
      <c r="MRI71" s="447" t="n"/>
      <c r="MRJ71" s="529" t="n">
        <v>1086478942</v>
      </c>
      <c r="MRK71" s="518" t="n"/>
      <c r="MRL71" s="519" t="n"/>
      <c r="MRM71" s="519" t="n">
        <v>45341</v>
      </c>
      <c r="MRP71" s="137" t="n">
        <v>218.95</v>
      </c>
      <c r="MRQ71" s="30" t="n"/>
      <c r="MRR71" s="451" t="n"/>
      <c r="MRS71" s="34" t="n"/>
      <c r="MRT71" s="30" t="n"/>
      <c r="MRU71" s="138">
        <f>+MRQ71-MRS71-MRU71</f>
        <v/>
      </c>
      <c r="MRV71" s="533" t="n"/>
      <c r="MRW71" s="515" t="inlineStr">
        <is>
          <t>SEGUROS</t>
        </is>
      </c>
      <c r="MRX71" s="534" t="inlineStr">
        <is>
          <t>RIMAC SEGUROS</t>
        </is>
      </c>
      <c r="MRY71" s="447" t="n"/>
      <c r="MRZ71" s="529" t="n">
        <v>1086478942</v>
      </c>
      <c r="MSA71" s="518" t="n"/>
      <c r="MSB71" s="519" t="n"/>
      <c r="MSC71" s="519" t="n">
        <v>45341</v>
      </c>
      <c r="MSF71" s="137" t="n">
        <v>218.95</v>
      </c>
      <c r="MSG71" s="30" t="n"/>
      <c r="MSH71" s="451" t="n"/>
      <c r="MSI71" s="34" t="n"/>
      <c r="MSJ71" s="30" t="n"/>
      <c r="MSK71" s="138">
        <f>+MSG71-MSI71-MSK71</f>
        <v/>
      </c>
      <c r="MSL71" s="533" t="n"/>
      <c r="MSM71" s="515" t="inlineStr">
        <is>
          <t>SEGUROS</t>
        </is>
      </c>
      <c r="MSN71" s="534" t="inlineStr">
        <is>
          <t>RIMAC SEGUROS</t>
        </is>
      </c>
      <c r="MSO71" s="447" t="n"/>
      <c r="MSP71" s="529" t="n">
        <v>1086478942</v>
      </c>
      <c r="MSQ71" s="518" t="n"/>
      <c r="MSR71" s="519" t="n"/>
      <c r="MSS71" s="519" t="n">
        <v>45341</v>
      </c>
      <c r="MSV71" s="137" t="n">
        <v>218.95</v>
      </c>
      <c r="MSW71" s="30" t="n"/>
      <c r="MSX71" s="451" t="n"/>
      <c r="MSY71" s="34" t="n"/>
      <c r="MSZ71" s="30" t="n"/>
      <c r="MTA71" s="138">
        <f>+MSW71-MSY71-MTA71</f>
        <v/>
      </c>
      <c r="MTB71" s="533" t="n"/>
      <c r="MTC71" s="515" t="inlineStr">
        <is>
          <t>SEGUROS</t>
        </is>
      </c>
      <c r="MTD71" s="534" t="inlineStr">
        <is>
          <t>RIMAC SEGUROS</t>
        </is>
      </c>
      <c r="MTE71" s="447" t="n"/>
      <c r="MTF71" s="529" t="n">
        <v>1086478942</v>
      </c>
      <c r="MTG71" s="518" t="n"/>
      <c r="MTH71" s="519" t="n"/>
      <c r="MTI71" s="519" t="n">
        <v>45341</v>
      </c>
      <c r="MTL71" s="137" t="n">
        <v>218.95</v>
      </c>
      <c r="MTM71" s="30" t="n"/>
      <c r="MTN71" s="451" t="n"/>
      <c r="MTO71" s="34" t="n"/>
      <c r="MTP71" s="30" t="n"/>
      <c r="MTQ71" s="138">
        <f>+MTM71-MTO71-MTQ71</f>
        <v/>
      </c>
      <c r="MTR71" s="533" t="n"/>
      <c r="MTS71" s="515" t="inlineStr">
        <is>
          <t>SEGUROS</t>
        </is>
      </c>
      <c r="MTT71" s="534" t="inlineStr">
        <is>
          <t>RIMAC SEGUROS</t>
        </is>
      </c>
      <c r="MTU71" s="447" t="n"/>
      <c r="MTV71" s="529" t="n">
        <v>1086478942</v>
      </c>
      <c r="MTW71" s="518" t="n"/>
      <c r="MTX71" s="519" t="n"/>
      <c r="MTY71" s="519" t="n">
        <v>45341</v>
      </c>
      <c r="MUB71" s="137" t="n">
        <v>218.95</v>
      </c>
      <c r="MUC71" s="30" t="n"/>
      <c r="MUD71" s="451" t="n"/>
      <c r="MUE71" s="34" t="n"/>
      <c r="MUF71" s="30" t="n"/>
      <c r="MUG71" s="138">
        <f>+MUC71-MUE71-MUG71</f>
        <v/>
      </c>
      <c r="MUH71" s="533" t="n"/>
      <c r="MUI71" s="515" t="inlineStr">
        <is>
          <t>SEGUROS</t>
        </is>
      </c>
      <c r="MUJ71" s="534" t="inlineStr">
        <is>
          <t>RIMAC SEGUROS</t>
        </is>
      </c>
      <c r="MUK71" s="447" t="n"/>
      <c r="MUL71" s="529" t="n">
        <v>1086478942</v>
      </c>
      <c r="MUM71" s="518" t="n"/>
      <c r="MUN71" s="519" t="n"/>
      <c r="MUO71" s="519" t="n">
        <v>45341</v>
      </c>
      <c r="MUR71" s="137" t="n">
        <v>218.95</v>
      </c>
      <c r="MUS71" s="30" t="n"/>
      <c r="MUT71" s="451" t="n"/>
      <c r="MUU71" s="34" t="n"/>
      <c r="MUV71" s="30" t="n"/>
      <c r="MUW71" s="138">
        <f>+MUS71-MUU71-MUW71</f>
        <v/>
      </c>
      <c r="MUX71" s="533" t="n"/>
      <c r="MUY71" s="515" t="inlineStr">
        <is>
          <t>SEGUROS</t>
        </is>
      </c>
      <c r="MUZ71" s="534" t="inlineStr">
        <is>
          <t>RIMAC SEGUROS</t>
        </is>
      </c>
      <c r="MVA71" s="447" t="n"/>
      <c r="MVB71" s="529" t="n">
        <v>1086478942</v>
      </c>
      <c r="MVC71" s="518" t="n"/>
      <c r="MVD71" s="519" t="n"/>
      <c r="MVE71" s="519" t="n">
        <v>45341</v>
      </c>
      <c r="MVH71" s="137" t="n">
        <v>218.95</v>
      </c>
      <c r="MVI71" s="30" t="n"/>
      <c r="MVJ71" s="451" t="n"/>
      <c r="MVK71" s="34" t="n"/>
      <c r="MVL71" s="30" t="n"/>
      <c r="MVM71" s="138">
        <f>+MVI71-MVK71-MVM71</f>
        <v/>
      </c>
      <c r="MVN71" s="533" t="n"/>
      <c r="MVO71" s="515" t="inlineStr">
        <is>
          <t>SEGUROS</t>
        </is>
      </c>
      <c r="MVP71" s="534" t="inlineStr">
        <is>
          <t>RIMAC SEGUROS</t>
        </is>
      </c>
      <c r="MVQ71" s="447" t="n"/>
      <c r="MVR71" s="529" t="n">
        <v>1086478942</v>
      </c>
      <c r="MVS71" s="518" t="n"/>
      <c r="MVT71" s="519" t="n"/>
      <c r="MVU71" s="519" t="n">
        <v>45341</v>
      </c>
      <c r="MVX71" s="137" t="n">
        <v>218.95</v>
      </c>
      <c r="MVY71" s="30" t="n"/>
      <c r="MVZ71" s="451" t="n"/>
      <c r="MWA71" s="34" t="n"/>
      <c r="MWB71" s="30" t="n"/>
      <c r="MWC71" s="138">
        <f>+MVY71-MWA71-MWC71</f>
        <v/>
      </c>
      <c r="MWD71" s="533" t="n"/>
      <c r="MWE71" s="515" t="inlineStr">
        <is>
          <t>SEGUROS</t>
        </is>
      </c>
      <c r="MWF71" s="534" t="inlineStr">
        <is>
          <t>RIMAC SEGUROS</t>
        </is>
      </c>
      <c r="MWG71" s="447" t="n"/>
      <c r="MWH71" s="529" t="n">
        <v>1086478942</v>
      </c>
      <c r="MWI71" s="518" t="n"/>
      <c r="MWJ71" s="519" t="n"/>
      <c r="MWK71" s="519" t="n">
        <v>45341</v>
      </c>
      <c r="MWN71" s="137" t="n">
        <v>218.95</v>
      </c>
      <c r="MWO71" s="30" t="n"/>
      <c r="MWP71" s="451" t="n"/>
      <c r="MWQ71" s="34" t="n"/>
      <c r="MWR71" s="30" t="n"/>
      <c r="MWS71" s="138">
        <f>+MWO71-MWQ71-MWS71</f>
        <v/>
      </c>
      <c r="MWT71" s="533" t="n"/>
      <c r="MWU71" s="515" t="inlineStr">
        <is>
          <t>SEGUROS</t>
        </is>
      </c>
      <c r="MWV71" s="534" t="inlineStr">
        <is>
          <t>RIMAC SEGUROS</t>
        </is>
      </c>
      <c r="MWW71" s="447" t="n"/>
      <c r="MWX71" s="529" t="n">
        <v>1086478942</v>
      </c>
      <c r="MWY71" s="518" t="n"/>
      <c r="MWZ71" s="519" t="n"/>
      <c r="MXA71" s="519" t="n">
        <v>45341</v>
      </c>
      <c r="MXD71" s="137" t="n">
        <v>218.95</v>
      </c>
      <c r="MXE71" s="30" t="n"/>
      <c r="MXF71" s="451" t="n"/>
      <c r="MXG71" s="34" t="n"/>
      <c r="MXH71" s="30" t="n"/>
      <c r="MXI71" s="138">
        <f>+MXE71-MXG71-MXI71</f>
        <v/>
      </c>
      <c r="MXJ71" s="533" t="n"/>
      <c r="MXK71" s="515" t="inlineStr">
        <is>
          <t>SEGUROS</t>
        </is>
      </c>
      <c r="MXL71" s="534" t="inlineStr">
        <is>
          <t>RIMAC SEGUROS</t>
        </is>
      </c>
      <c r="MXM71" s="447" t="n"/>
      <c r="MXN71" s="529" t="n">
        <v>1086478942</v>
      </c>
      <c r="MXO71" s="518" t="n"/>
      <c r="MXP71" s="519" t="n"/>
      <c r="MXQ71" s="519" t="n">
        <v>45341</v>
      </c>
      <c r="MXT71" s="137" t="n">
        <v>218.95</v>
      </c>
      <c r="MXU71" s="30" t="n"/>
      <c r="MXV71" s="451" t="n"/>
      <c r="MXW71" s="34" t="n"/>
      <c r="MXX71" s="30" t="n"/>
      <c r="MXY71" s="138">
        <f>+MXU71-MXW71-MXY71</f>
        <v/>
      </c>
      <c r="MXZ71" s="533" t="n"/>
      <c r="MYA71" s="515" t="inlineStr">
        <is>
          <t>SEGUROS</t>
        </is>
      </c>
      <c r="MYB71" s="534" t="inlineStr">
        <is>
          <t>RIMAC SEGUROS</t>
        </is>
      </c>
      <c r="MYC71" s="447" t="n"/>
      <c r="MYD71" s="529" t="n">
        <v>1086478942</v>
      </c>
      <c r="MYE71" s="518" t="n"/>
      <c r="MYF71" s="519" t="n"/>
      <c r="MYG71" s="519" t="n">
        <v>45341</v>
      </c>
      <c r="MYJ71" s="137" t="n">
        <v>218.95</v>
      </c>
      <c r="MYK71" s="30" t="n"/>
      <c r="MYL71" s="451" t="n"/>
      <c r="MYM71" s="34" t="n"/>
      <c r="MYN71" s="30" t="n"/>
      <c r="MYO71" s="138">
        <f>+MYK71-MYM71-MYO71</f>
        <v/>
      </c>
      <c r="MYP71" s="533" t="n"/>
      <c r="MYQ71" s="515" t="inlineStr">
        <is>
          <t>SEGUROS</t>
        </is>
      </c>
      <c r="MYR71" s="534" t="inlineStr">
        <is>
          <t>RIMAC SEGUROS</t>
        </is>
      </c>
      <c r="MYS71" s="447" t="n"/>
      <c r="MYT71" s="529" t="n">
        <v>1086478942</v>
      </c>
      <c r="MYU71" s="518" t="n"/>
      <c r="MYV71" s="519" t="n"/>
      <c r="MYW71" s="519" t="n">
        <v>45341</v>
      </c>
      <c r="MYZ71" s="137" t="n">
        <v>218.95</v>
      </c>
      <c r="MZA71" s="30" t="n"/>
      <c r="MZB71" s="451" t="n"/>
      <c r="MZC71" s="34" t="n"/>
      <c r="MZD71" s="30" t="n"/>
      <c r="MZE71" s="138">
        <f>+MZA71-MZC71-MZE71</f>
        <v/>
      </c>
      <c r="MZF71" s="533" t="n"/>
      <c r="MZG71" s="515" t="inlineStr">
        <is>
          <t>SEGUROS</t>
        </is>
      </c>
      <c r="MZH71" s="534" t="inlineStr">
        <is>
          <t>RIMAC SEGUROS</t>
        </is>
      </c>
      <c r="MZI71" s="447" t="n"/>
      <c r="MZJ71" s="529" t="n">
        <v>1086478942</v>
      </c>
      <c r="MZK71" s="518" t="n"/>
      <c r="MZL71" s="519" t="n"/>
      <c r="MZM71" s="519" t="n">
        <v>45341</v>
      </c>
      <c r="MZP71" s="137" t="n">
        <v>218.95</v>
      </c>
      <c r="MZQ71" s="30" t="n"/>
      <c r="MZR71" s="451" t="n"/>
      <c r="MZS71" s="34" t="n"/>
      <c r="MZT71" s="30" t="n"/>
      <c r="MZU71" s="138">
        <f>+MZQ71-MZS71-MZU71</f>
        <v/>
      </c>
      <c r="MZV71" s="533" t="n"/>
      <c r="MZW71" s="515" t="inlineStr">
        <is>
          <t>SEGUROS</t>
        </is>
      </c>
      <c r="MZX71" s="534" t="inlineStr">
        <is>
          <t>RIMAC SEGUROS</t>
        </is>
      </c>
      <c r="MZY71" s="447" t="n"/>
      <c r="MZZ71" s="529" t="n">
        <v>1086478942</v>
      </c>
      <c r="NAA71" s="518" t="n"/>
      <c r="NAB71" s="519" t="n"/>
      <c r="NAC71" s="519" t="n">
        <v>45341</v>
      </c>
      <c r="NAF71" s="137" t="n">
        <v>218.95</v>
      </c>
      <c r="NAG71" s="30" t="n"/>
      <c r="NAH71" s="451" t="n"/>
      <c r="NAI71" s="34" t="n"/>
      <c r="NAJ71" s="30" t="n"/>
      <c r="NAK71" s="138">
        <f>+NAG71-NAI71-NAK71</f>
        <v/>
      </c>
      <c r="NAL71" s="533" t="n"/>
      <c r="NAM71" s="515" t="inlineStr">
        <is>
          <t>SEGUROS</t>
        </is>
      </c>
      <c r="NAN71" s="534" t="inlineStr">
        <is>
          <t>RIMAC SEGUROS</t>
        </is>
      </c>
      <c r="NAO71" s="447" t="n"/>
      <c r="NAP71" s="529" t="n">
        <v>1086478942</v>
      </c>
      <c r="NAQ71" s="518" t="n"/>
      <c r="NAR71" s="519" t="n"/>
      <c r="NAS71" s="519" t="n">
        <v>45341</v>
      </c>
      <c r="NAV71" s="137" t="n">
        <v>218.95</v>
      </c>
      <c r="NAW71" s="30" t="n"/>
      <c r="NAX71" s="451" t="n"/>
      <c r="NAY71" s="34" t="n"/>
      <c r="NAZ71" s="30" t="n"/>
      <c r="NBA71" s="138">
        <f>+NAW71-NAY71-NBA71</f>
        <v/>
      </c>
      <c r="NBB71" s="533" t="n"/>
      <c r="NBC71" s="515" t="inlineStr">
        <is>
          <t>SEGUROS</t>
        </is>
      </c>
      <c r="NBD71" s="534" t="inlineStr">
        <is>
          <t>RIMAC SEGUROS</t>
        </is>
      </c>
      <c r="NBE71" s="447" t="n"/>
      <c r="NBF71" s="529" t="n">
        <v>1086478942</v>
      </c>
      <c r="NBG71" s="518" t="n"/>
      <c r="NBH71" s="519" t="n"/>
      <c r="NBI71" s="519" t="n">
        <v>45341</v>
      </c>
      <c r="NBL71" s="137" t="n">
        <v>218.95</v>
      </c>
      <c r="NBM71" s="30" t="n"/>
      <c r="NBN71" s="451" t="n"/>
      <c r="NBO71" s="34" t="n"/>
      <c r="NBP71" s="30" t="n"/>
      <c r="NBQ71" s="138">
        <f>+NBM71-NBO71-NBQ71</f>
        <v/>
      </c>
      <c r="NBR71" s="533" t="n"/>
      <c r="NBS71" s="515" t="inlineStr">
        <is>
          <t>SEGUROS</t>
        </is>
      </c>
      <c r="NBT71" s="534" t="inlineStr">
        <is>
          <t>RIMAC SEGUROS</t>
        </is>
      </c>
      <c r="NBU71" s="447" t="n"/>
      <c r="NBV71" s="529" t="n">
        <v>1086478942</v>
      </c>
      <c r="NBW71" s="518" t="n"/>
      <c r="NBX71" s="519" t="n"/>
      <c r="NBY71" s="519" t="n">
        <v>45341</v>
      </c>
      <c r="NCB71" s="137" t="n">
        <v>218.95</v>
      </c>
      <c r="NCC71" s="30" t="n"/>
      <c r="NCD71" s="451" t="n"/>
      <c r="NCE71" s="34" t="n"/>
      <c r="NCF71" s="30" t="n"/>
      <c r="NCG71" s="138">
        <f>+NCC71-NCE71-NCG71</f>
        <v/>
      </c>
      <c r="NCH71" s="533" t="n"/>
      <c r="NCI71" s="515" t="inlineStr">
        <is>
          <t>SEGUROS</t>
        </is>
      </c>
      <c r="NCJ71" s="534" t="inlineStr">
        <is>
          <t>RIMAC SEGUROS</t>
        </is>
      </c>
      <c r="NCK71" s="447" t="n"/>
      <c r="NCL71" s="529" t="n">
        <v>1086478942</v>
      </c>
      <c r="NCM71" s="518" t="n"/>
      <c r="NCN71" s="519" t="n"/>
      <c r="NCO71" s="519" t="n">
        <v>45341</v>
      </c>
      <c r="NCR71" s="137" t="n">
        <v>218.95</v>
      </c>
      <c r="NCS71" s="30" t="n"/>
      <c r="NCT71" s="451" t="n"/>
      <c r="NCU71" s="34" t="n"/>
      <c r="NCV71" s="30" t="n"/>
      <c r="NCW71" s="138">
        <f>+NCS71-NCU71-NCW71</f>
        <v/>
      </c>
      <c r="NCX71" s="533" t="n"/>
      <c r="NCY71" s="515" t="inlineStr">
        <is>
          <t>SEGUROS</t>
        </is>
      </c>
      <c r="NCZ71" s="534" t="inlineStr">
        <is>
          <t>RIMAC SEGUROS</t>
        </is>
      </c>
      <c r="NDA71" s="447" t="n"/>
      <c r="NDB71" s="529" t="n">
        <v>1086478942</v>
      </c>
      <c r="NDC71" s="518" t="n"/>
      <c r="NDD71" s="519" t="n"/>
      <c r="NDE71" s="519" t="n">
        <v>45341</v>
      </c>
      <c r="NDH71" s="137" t="n">
        <v>218.95</v>
      </c>
      <c r="NDI71" s="30" t="n"/>
      <c r="NDJ71" s="451" t="n"/>
      <c r="NDK71" s="34" t="n"/>
      <c r="NDL71" s="30" t="n"/>
      <c r="NDM71" s="138">
        <f>+NDI71-NDK71-NDM71</f>
        <v/>
      </c>
      <c r="NDN71" s="533" t="n"/>
      <c r="NDO71" s="515" t="inlineStr">
        <is>
          <t>SEGUROS</t>
        </is>
      </c>
      <c r="NDP71" s="534" t="inlineStr">
        <is>
          <t>RIMAC SEGUROS</t>
        </is>
      </c>
      <c r="NDQ71" s="447" t="n"/>
      <c r="NDR71" s="529" t="n">
        <v>1086478942</v>
      </c>
      <c r="NDS71" s="518" t="n"/>
      <c r="NDT71" s="519" t="n"/>
      <c r="NDU71" s="519" t="n">
        <v>45341</v>
      </c>
      <c r="NDX71" s="137" t="n">
        <v>218.95</v>
      </c>
      <c r="NDY71" s="30" t="n"/>
      <c r="NDZ71" s="451" t="n"/>
      <c r="NEA71" s="34" t="n"/>
      <c r="NEB71" s="30" t="n"/>
      <c r="NEC71" s="138">
        <f>+NDY71-NEA71-NEC71</f>
        <v/>
      </c>
      <c r="NED71" s="533" t="n"/>
      <c r="NEE71" s="515" t="inlineStr">
        <is>
          <t>SEGUROS</t>
        </is>
      </c>
      <c r="NEF71" s="534" t="inlineStr">
        <is>
          <t>RIMAC SEGUROS</t>
        </is>
      </c>
      <c r="NEG71" s="447" t="n"/>
      <c r="NEH71" s="529" t="n">
        <v>1086478942</v>
      </c>
      <c r="NEI71" s="518" t="n"/>
      <c r="NEJ71" s="519" t="n"/>
      <c r="NEK71" s="519" t="n">
        <v>45341</v>
      </c>
      <c r="NEN71" s="137" t="n">
        <v>218.95</v>
      </c>
      <c r="NEO71" s="30" t="n"/>
      <c r="NEP71" s="451" t="n"/>
      <c r="NEQ71" s="34" t="n"/>
      <c r="NER71" s="30" t="n"/>
      <c r="NES71" s="138">
        <f>+NEO71-NEQ71-NES71</f>
        <v/>
      </c>
      <c r="NET71" s="533" t="n"/>
      <c r="NEU71" s="515" t="inlineStr">
        <is>
          <t>SEGUROS</t>
        </is>
      </c>
      <c r="NEV71" s="534" t="inlineStr">
        <is>
          <t>RIMAC SEGUROS</t>
        </is>
      </c>
      <c r="NEW71" s="447" t="n"/>
      <c r="NEX71" s="529" t="n">
        <v>1086478942</v>
      </c>
      <c r="NEY71" s="518" t="n"/>
      <c r="NEZ71" s="519" t="n"/>
      <c r="NFA71" s="519" t="n">
        <v>45341</v>
      </c>
      <c r="NFD71" s="137" t="n">
        <v>218.95</v>
      </c>
      <c r="NFE71" s="30" t="n"/>
      <c r="NFF71" s="451" t="n"/>
      <c r="NFG71" s="34" t="n"/>
      <c r="NFH71" s="30" t="n"/>
      <c r="NFI71" s="138">
        <f>+NFE71-NFG71-NFI71</f>
        <v/>
      </c>
      <c r="NFJ71" s="533" t="n"/>
      <c r="NFK71" s="515" t="inlineStr">
        <is>
          <t>SEGUROS</t>
        </is>
      </c>
      <c r="NFL71" s="534" t="inlineStr">
        <is>
          <t>RIMAC SEGUROS</t>
        </is>
      </c>
      <c r="NFM71" s="447" t="n"/>
      <c r="NFN71" s="529" t="n">
        <v>1086478942</v>
      </c>
      <c r="NFO71" s="518" t="n"/>
      <c r="NFP71" s="519" t="n"/>
      <c r="NFQ71" s="519" t="n">
        <v>45341</v>
      </c>
      <c r="NFT71" s="137" t="n">
        <v>218.95</v>
      </c>
      <c r="NFU71" s="30" t="n"/>
      <c r="NFV71" s="451" t="n"/>
      <c r="NFW71" s="34" t="n"/>
      <c r="NFX71" s="30" t="n"/>
      <c r="NFY71" s="138">
        <f>+NFU71-NFW71-NFY71</f>
        <v/>
      </c>
      <c r="NFZ71" s="533" t="n"/>
      <c r="NGA71" s="515" t="inlineStr">
        <is>
          <t>SEGUROS</t>
        </is>
      </c>
      <c r="NGB71" s="534" t="inlineStr">
        <is>
          <t>RIMAC SEGUROS</t>
        </is>
      </c>
      <c r="NGC71" s="447" t="n"/>
      <c r="NGD71" s="529" t="n">
        <v>1086478942</v>
      </c>
      <c r="NGE71" s="518" t="n"/>
      <c r="NGF71" s="519" t="n"/>
      <c r="NGG71" s="519" t="n">
        <v>45341</v>
      </c>
      <c r="NGJ71" s="137" t="n">
        <v>218.95</v>
      </c>
      <c r="NGK71" s="30" t="n"/>
      <c r="NGL71" s="451" t="n"/>
      <c r="NGM71" s="34" t="n"/>
      <c r="NGN71" s="30" t="n"/>
      <c r="NGO71" s="138">
        <f>+NGK71-NGM71-NGO71</f>
        <v/>
      </c>
      <c r="NGP71" s="533" t="n"/>
      <c r="NGQ71" s="515" t="inlineStr">
        <is>
          <t>SEGUROS</t>
        </is>
      </c>
      <c r="NGR71" s="534" t="inlineStr">
        <is>
          <t>RIMAC SEGUROS</t>
        </is>
      </c>
      <c r="NGS71" s="447" t="n"/>
      <c r="NGT71" s="529" t="n">
        <v>1086478942</v>
      </c>
      <c r="NGU71" s="518" t="n"/>
      <c r="NGV71" s="519" t="n"/>
      <c r="NGW71" s="519" t="n">
        <v>45341</v>
      </c>
      <c r="NGZ71" s="137" t="n">
        <v>218.95</v>
      </c>
      <c r="NHA71" s="30" t="n"/>
      <c r="NHB71" s="451" t="n"/>
      <c r="NHC71" s="34" t="n"/>
      <c r="NHD71" s="30" t="n"/>
      <c r="NHE71" s="138">
        <f>+NHA71-NHC71-NHE71</f>
        <v/>
      </c>
      <c r="NHF71" s="533" t="n"/>
      <c r="NHG71" s="515" t="inlineStr">
        <is>
          <t>SEGUROS</t>
        </is>
      </c>
      <c r="NHH71" s="534" t="inlineStr">
        <is>
          <t>RIMAC SEGUROS</t>
        </is>
      </c>
      <c r="NHI71" s="447" t="n"/>
      <c r="NHJ71" s="529" t="n">
        <v>1086478942</v>
      </c>
      <c r="NHK71" s="518" t="n"/>
      <c r="NHL71" s="519" t="n"/>
      <c r="NHM71" s="519" t="n">
        <v>45341</v>
      </c>
      <c r="NHP71" s="137" t="n">
        <v>218.95</v>
      </c>
      <c r="NHQ71" s="30" t="n"/>
      <c r="NHR71" s="451" t="n"/>
      <c r="NHS71" s="34" t="n"/>
      <c r="NHT71" s="30" t="n"/>
      <c r="NHU71" s="138">
        <f>+NHQ71-NHS71-NHU71</f>
        <v/>
      </c>
      <c r="NHV71" s="533" t="n"/>
      <c r="NHW71" s="515" t="inlineStr">
        <is>
          <t>SEGUROS</t>
        </is>
      </c>
      <c r="NHX71" s="534" t="inlineStr">
        <is>
          <t>RIMAC SEGUROS</t>
        </is>
      </c>
      <c r="NHY71" s="447" t="n"/>
      <c r="NHZ71" s="529" t="n">
        <v>1086478942</v>
      </c>
      <c r="NIA71" s="518" t="n"/>
      <c r="NIB71" s="519" t="n"/>
      <c r="NIC71" s="519" t="n">
        <v>45341</v>
      </c>
      <c r="NIF71" s="137" t="n">
        <v>218.95</v>
      </c>
      <c r="NIG71" s="30" t="n"/>
      <c r="NIH71" s="451" t="n"/>
      <c r="NII71" s="34" t="n"/>
      <c r="NIJ71" s="30" t="n"/>
      <c r="NIK71" s="138">
        <f>+NIG71-NII71-NIK71</f>
        <v/>
      </c>
      <c r="NIL71" s="533" t="n"/>
      <c r="NIM71" s="515" t="inlineStr">
        <is>
          <t>SEGUROS</t>
        </is>
      </c>
      <c r="NIN71" s="534" t="inlineStr">
        <is>
          <t>RIMAC SEGUROS</t>
        </is>
      </c>
      <c r="NIO71" s="447" t="n"/>
      <c r="NIP71" s="529" t="n">
        <v>1086478942</v>
      </c>
      <c r="NIQ71" s="518" t="n"/>
      <c r="NIR71" s="519" t="n"/>
      <c r="NIS71" s="519" t="n">
        <v>45341</v>
      </c>
      <c r="NIV71" s="137" t="n">
        <v>218.95</v>
      </c>
      <c r="NIW71" s="30" t="n"/>
      <c r="NIX71" s="451" t="n"/>
      <c r="NIY71" s="34" t="n"/>
      <c r="NIZ71" s="30" t="n"/>
      <c r="NJA71" s="138">
        <f>+NIW71-NIY71-NJA71</f>
        <v/>
      </c>
      <c r="NJB71" s="533" t="n"/>
      <c r="NJC71" s="515" t="inlineStr">
        <is>
          <t>SEGUROS</t>
        </is>
      </c>
      <c r="NJD71" s="534" t="inlineStr">
        <is>
          <t>RIMAC SEGUROS</t>
        </is>
      </c>
      <c r="NJE71" s="447" t="n"/>
      <c r="NJF71" s="529" t="n">
        <v>1086478942</v>
      </c>
      <c r="NJG71" s="518" t="n"/>
      <c r="NJH71" s="519" t="n"/>
      <c r="NJI71" s="519" t="n">
        <v>45341</v>
      </c>
      <c r="NJL71" s="137" t="n">
        <v>218.95</v>
      </c>
      <c r="NJM71" s="30" t="n"/>
      <c r="NJN71" s="451" t="n"/>
      <c r="NJO71" s="34" t="n"/>
      <c r="NJP71" s="30" t="n"/>
      <c r="NJQ71" s="138">
        <f>+NJM71-NJO71-NJQ71</f>
        <v/>
      </c>
      <c r="NJR71" s="533" t="n"/>
      <c r="NJS71" s="515" t="inlineStr">
        <is>
          <t>SEGUROS</t>
        </is>
      </c>
      <c r="NJT71" s="534" t="inlineStr">
        <is>
          <t>RIMAC SEGUROS</t>
        </is>
      </c>
      <c r="NJU71" s="447" t="n"/>
      <c r="NJV71" s="529" t="n">
        <v>1086478942</v>
      </c>
      <c r="NJW71" s="518" t="n"/>
      <c r="NJX71" s="519" t="n"/>
      <c r="NJY71" s="519" t="n">
        <v>45341</v>
      </c>
      <c r="NKB71" s="137" t="n">
        <v>218.95</v>
      </c>
      <c r="NKC71" s="30" t="n"/>
      <c r="NKD71" s="451" t="n"/>
      <c r="NKE71" s="34" t="n"/>
      <c r="NKF71" s="30" t="n"/>
      <c r="NKG71" s="138">
        <f>+NKC71-NKE71-NKG71</f>
        <v/>
      </c>
      <c r="NKH71" s="533" t="n"/>
      <c r="NKI71" s="515" t="inlineStr">
        <is>
          <t>SEGUROS</t>
        </is>
      </c>
      <c r="NKJ71" s="534" t="inlineStr">
        <is>
          <t>RIMAC SEGUROS</t>
        </is>
      </c>
      <c r="NKK71" s="447" t="n"/>
      <c r="NKL71" s="529" t="n">
        <v>1086478942</v>
      </c>
      <c r="NKM71" s="518" t="n"/>
      <c r="NKN71" s="519" t="n"/>
      <c r="NKO71" s="519" t="n">
        <v>45341</v>
      </c>
      <c r="NKR71" s="137" t="n">
        <v>218.95</v>
      </c>
      <c r="NKS71" s="30" t="n"/>
      <c r="NKT71" s="451" t="n"/>
      <c r="NKU71" s="34" t="n"/>
      <c r="NKV71" s="30" t="n"/>
      <c r="NKW71" s="138">
        <f>+NKS71-NKU71-NKW71</f>
        <v/>
      </c>
      <c r="NKX71" s="533" t="n"/>
      <c r="NKY71" s="515" t="inlineStr">
        <is>
          <t>SEGUROS</t>
        </is>
      </c>
      <c r="NKZ71" s="534" t="inlineStr">
        <is>
          <t>RIMAC SEGUROS</t>
        </is>
      </c>
      <c r="NLA71" s="447" t="n"/>
      <c r="NLB71" s="529" t="n">
        <v>1086478942</v>
      </c>
      <c r="NLC71" s="518" t="n"/>
      <c r="NLD71" s="519" t="n"/>
      <c r="NLE71" s="519" t="n">
        <v>45341</v>
      </c>
      <c r="NLH71" s="137" t="n">
        <v>218.95</v>
      </c>
      <c r="NLI71" s="30" t="n"/>
      <c r="NLJ71" s="451" t="n"/>
      <c r="NLK71" s="34" t="n"/>
      <c r="NLL71" s="30" t="n"/>
      <c r="NLM71" s="138">
        <f>+NLI71-NLK71-NLM71</f>
        <v/>
      </c>
      <c r="NLN71" s="533" t="n"/>
      <c r="NLO71" s="515" t="inlineStr">
        <is>
          <t>SEGUROS</t>
        </is>
      </c>
      <c r="NLP71" s="534" t="inlineStr">
        <is>
          <t>RIMAC SEGUROS</t>
        </is>
      </c>
      <c r="NLQ71" s="447" t="n"/>
      <c r="NLR71" s="529" t="n">
        <v>1086478942</v>
      </c>
      <c r="NLS71" s="518" t="n"/>
      <c r="NLT71" s="519" t="n"/>
      <c r="NLU71" s="519" t="n">
        <v>45341</v>
      </c>
      <c r="NLX71" s="137" t="n">
        <v>218.95</v>
      </c>
      <c r="NLY71" s="30" t="n"/>
      <c r="NLZ71" s="451" t="n"/>
      <c r="NMA71" s="34" t="n"/>
      <c r="NMB71" s="30" t="n"/>
      <c r="NMC71" s="138">
        <f>+NLY71-NMA71-NMC71</f>
        <v/>
      </c>
      <c r="NMD71" s="533" t="n"/>
      <c r="NME71" s="515" t="inlineStr">
        <is>
          <t>SEGUROS</t>
        </is>
      </c>
      <c r="NMF71" s="534" t="inlineStr">
        <is>
          <t>RIMAC SEGUROS</t>
        </is>
      </c>
      <c r="NMG71" s="447" t="n"/>
      <c r="NMH71" s="529" t="n">
        <v>1086478942</v>
      </c>
      <c r="NMI71" s="518" t="n"/>
      <c r="NMJ71" s="519" t="n"/>
      <c r="NMK71" s="519" t="n">
        <v>45341</v>
      </c>
      <c r="NMN71" s="137" t="n">
        <v>218.95</v>
      </c>
      <c r="NMO71" s="30" t="n"/>
      <c r="NMP71" s="451" t="n"/>
      <c r="NMQ71" s="34" t="n"/>
      <c r="NMR71" s="30" t="n"/>
      <c r="NMS71" s="138">
        <f>+NMO71-NMQ71-NMS71</f>
        <v/>
      </c>
      <c r="NMT71" s="533" t="n"/>
      <c r="NMU71" s="515" t="inlineStr">
        <is>
          <t>SEGUROS</t>
        </is>
      </c>
      <c r="NMV71" s="534" t="inlineStr">
        <is>
          <t>RIMAC SEGUROS</t>
        </is>
      </c>
      <c r="NMW71" s="447" t="n"/>
      <c r="NMX71" s="529" t="n">
        <v>1086478942</v>
      </c>
      <c r="NMY71" s="518" t="n"/>
      <c r="NMZ71" s="519" t="n"/>
      <c r="NNA71" s="519" t="n">
        <v>45341</v>
      </c>
      <c r="NND71" s="137" t="n">
        <v>218.95</v>
      </c>
      <c r="NNE71" s="30" t="n"/>
      <c r="NNF71" s="451" t="n"/>
      <c r="NNG71" s="34" t="n"/>
      <c r="NNH71" s="30" t="n"/>
      <c r="NNI71" s="138">
        <f>+NNE71-NNG71-NNI71</f>
        <v/>
      </c>
      <c r="NNJ71" s="533" t="n"/>
      <c r="NNK71" s="515" t="inlineStr">
        <is>
          <t>SEGUROS</t>
        </is>
      </c>
      <c r="NNL71" s="534" t="inlineStr">
        <is>
          <t>RIMAC SEGUROS</t>
        </is>
      </c>
      <c r="NNM71" s="447" t="n"/>
      <c r="NNN71" s="529" t="n">
        <v>1086478942</v>
      </c>
      <c r="NNO71" s="518" t="n"/>
      <c r="NNP71" s="519" t="n"/>
      <c r="NNQ71" s="519" t="n">
        <v>45341</v>
      </c>
      <c r="NNT71" s="137" t="n">
        <v>218.95</v>
      </c>
      <c r="NNU71" s="30" t="n"/>
      <c r="NNV71" s="451" t="n"/>
      <c r="NNW71" s="34" t="n"/>
      <c r="NNX71" s="30" t="n"/>
      <c r="NNY71" s="138">
        <f>+NNU71-NNW71-NNY71</f>
        <v/>
      </c>
      <c r="NNZ71" s="533" t="n"/>
      <c r="NOA71" s="515" t="inlineStr">
        <is>
          <t>SEGUROS</t>
        </is>
      </c>
      <c r="NOB71" s="534" t="inlineStr">
        <is>
          <t>RIMAC SEGUROS</t>
        </is>
      </c>
      <c r="NOC71" s="447" t="n"/>
      <c r="NOD71" s="529" t="n">
        <v>1086478942</v>
      </c>
      <c r="NOE71" s="518" t="n"/>
      <c r="NOF71" s="519" t="n"/>
      <c r="NOG71" s="519" t="n">
        <v>45341</v>
      </c>
      <c r="NOJ71" s="137" t="n">
        <v>218.95</v>
      </c>
      <c r="NOK71" s="30" t="n"/>
      <c r="NOL71" s="451" t="n"/>
      <c r="NOM71" s="34" t="n"/>
      <c r="NON71" s="30" t="n"/>
      <c r="NOO71" s="138">
        <f>+NOK71-NOM71-NOO71</f>
        <v/>
      </c>
      <c r="NOP71" s="533" t="n"/>
      <c r="NOQ71" s="515" t="inlineStr">
        <is>
          <t>SEGUROS</t>
        </is>
      </c>
      <c r="NOR71" s="534" t="inlineStr">
        <is>
          <t>RIMAC SEGUROS</t>
        </is>
      </c>
      <c r="NOS71" s="447" t="n"/>
      <c r="NOT71" s="529" t="n">
        <v>1086478942</v>
      </c>
      <c r="NOU71" s="518" t="n"/>
      <c r="NOV71" s="519" t="n"/>
      <c r="NOW71" s="519" t="n">
        <v>45341</v>
      </c>
      <c r="NOZ71" s="137" t="n">
        <v>218.95</v>
      </c>
      <c r="NPA71" s="30" t="n"/>
      <c r="NPB71" s="451" t="n"/>
      <c r="NPC71" s="34" t="n"/>
      <c r="NPD71" s="30" t="n"/>
      <c r="NPE71" s="138">
        <f>+NPA71-NPC71-NPE71</f>
        <v/>
      </c>
      <c r="NPF71" s="533" t="n"/>
      <c r="NPG71" s="515" t="inlineStr">
        <is>
          <t>SEGUROS</t>
        </is>
      </c>
      <c r="NPH71" s="534" t="inlineStr">
        <is>
          <t>RIMAC SEGUROS</t>
        </is>
      </c>
      <c r="NPI71" s="447" t="n"/>
      <c r="NPJ71" s="529" t="n">
        <v>1086478942</v>
      </c>
      <c r="NPK71" s="518" t="n"/>
      <c r="NPL71" s="519" t="n"/>
      <c r="NPM71" s="519" t="n">
        <v>45341</v>
      </c>
      <c r="NPP71" s="137" t="n">
        <v>218.95</v>
      </c>
      <c r="NPQ71" s="30" t="n"/>
      <c r="NPR71" s="451" t="n"/>
      <c r="NPS71" s="34" t="n"/>
      <c r="NPT71" s="30" t="n"/>
      <c r="NPU71" s="138">
        <f>+NPQ71-NPS71-NPU71</f>
        <v/>
      </c>
      <c r="NPV71" s="533" t="n"/>
      <c r="NPW71" s="515" t="inlineStr">
        <is>
          <t>SEGUROS</t>
        </is>
      </c>
      <c r="NPX71" s="534" t="inlineStr">
        <is>
          <t>RIMAC SEGUROS</t>
        </is>
      </c>
      <c r="NPY71" s="447" t="n"/>
      <c r="NPZ71" s="529" t="n">
        <v>1086478942</v>
      </c>
      <c r="NQA71" s="518" t="n"/>
      <c r="NQB71" s="519" t="n"/>
      <c r="NQC71" s="519" t="n">
        <v>45341</v>
      </c>
      <c r="NQF71" s="137" t="n">
        <v>218.95</v>
      </c>
      <c r="NQG71" s="30" t="n"/>
      <c r="NQH71" s="451" t="n"/>
      <c r="NQI71" s="34" t="n"/>
      <c r="NQJ71" s="30" t="n"/>
      <c r="NQK71" s="138">
        <f>+NQG71-NQI71-NQK71</f>
        <v/>
      </c>
      <c r="NQL71" s="533" t="n"/>
      <c r="NQM71" s="515" t="inlineStr">
        <is>
          <t>SEGUROS</t>
        </is>
      </c>
      <c r="NQN71" s="534" t="inlineStr">
        <is>
          <t>RIMAC SEGUROS</t>
        </is>
      </c>
      <c r="NQO71" s="447" t="n"/>
      <c r="NQP71" s="529" t="n">
        <v>1086478942</v>
      </c>
      <c r="NQQ71" s="518" t="n"/>
      <c r="NQR71" s="519" t="n"/>
      <c r="NQS71" s="519" t="n">
        <v>45341</v>
      </c>
      <c r="NQV71" s="137" t="n">
        <v>218.95</v>
      </c>
      <c r="NQW71" s="30" t="n"/>
      <c r="NQX71" s="451" t="n"/>
      <c r="NQY71" s="34" t="n"/>
      <c r="NQZ71" s="30" t="n"/>
      <c r="NRA71" s="138">
        <f>+NQW71-NQY71-NRA71</f>
        <v/>
      </c>
      <c r="NRB71" s="533" t="n"/>
      <c r="NRC71" s="515" t="inlineStr">
        <is>
          <t>SEGUROS</t>
        </is>
      </c>
      <c r="NRD71" s="534" t="inlineStr">
        <is>
          <t>RIMAC SEGUROS</t>
        </is>
      </c>
      <c r="NRE71" s="447" t="n"/>
      <c r="NRF71" s="529" t="n">
        <v>1086478942</v>
      </c>
      <c r="NRG71" s="518" t="n"/>
      <c r="NRH71" s="519" t="n"/>
      <c r="NRI71" s="519" t="n">
        <v>45341</v>
      </c>
      <c r="NRL71" s="137" t="n">
        <v>218.95</v>
      </c>
      <c r="NRM71" s="30" t="n"/>
      <c r="NRN71" s="451" t="n"/>
      <c r="NRO71" s="34" t="n"/>
      <c r="NRP71" s="30" t="n"/>
      <c r="NRQ71" s="138">
        <f>+NRM71-NRO71-NRQ71</f>
        <v/>
      </c>
      <c r="NRR71" s="533" t="n"/>
      <c r="NRS71" s="515" t="inlineStr">
        <is>
          <t>SEGUROS</t>
        </is>
      </c>
      <c r="NRT71" s="534" t="inlineStr">
        <is>
          <t>RIMAC SEGUROS</t>
        </is>
      </c>
      <c r="NRU71" s="447" t="n"/>
      <c r="NRV71" s="529" t="n">
        <v>1086478942</v>
      </c>
      <c r="NRW71" s="518" t="n"/>
      <c r="NRX71" s="519" t="n"/>
      <c r="NRY71" s="519" t="n">
        <v>45341</v>
      </c>
      <c r="NSB71" s="137" t="n">
        <v>218.95</v>
      </c>
      <c r="NSC71" s="30" t="n"/>
      <c r="NSD71" s="451" t="n"/>
      <c r="NSE71" s="34" t="n"/>
      <c r="NSF71" s="30" t="n"/>
      <c r="NSG71" s="138">
        <f>+NSC71-NSE71-NSG71</f>
        <v/>
      </c>
      <c r="NSH71" s="533" t="n"/>
      <c r="NSI71" s="515" t="inlineStr">
        <is>
          <t>SEGUROS</t>
        </is>
      </c>
      <c r="NSJ71" s="534" t="inlineStr">
        <is>
          <t>RIMAC SEGUROS</t>
        </is>
      </c>
      <c r="NSK71" s="447" t="n"/>
      <c r="NSL71" s="529" t="n">
        <v>1086478942</v>
      </c>
      <c r="NSM71" s="518" t="n"/>
      <c r="NSN71" s="519" t="n"/>
      <c r="NSO71" s="519" t="n">
        <v>45341</v>
      </c>
      <c r="NSR71" s="137" t="n">
        <v>218.95</v>
      </c>
      <c r="NSS71" s="30" t="n"/>
      <c r="NST71" s="451" t="n"/>
      <c r="NSU71" s="34" t="n"/>
      <c r="NSV71" s="30" t="n"/>
      <c r="NSW71" s="138">
        <f>+NSS71-NSU71-NSW71</f>
        <v/>
      </c>
      <c r="NSX71" s="533" t="n"/>
      <c r="NSY71" s="515" t="inlineStr">
        <is>
          <t>SEGUROS</t>
        </is>
      </c>
      <c r="NSZ71" s="534" t="inlineStr">
        <is>
          <t>RIMAC SEGUROS</t>
        </is>
      </c>
      <c r="NTA71" s="447" t="n"/>
      <c r="NTB71" s="529" t="n">
        <v>1086478942</v>
      </c>
      <c r="NTC71" s="518" t="n"/>
      <c r="NTD71" s="519" t="n"/>
      <c r="NTE71" s="519" t="n">
        <v>45341</v>
      </c>
      <c r="NTH71" s="137" t="n">
        <v>218.95</v>
      </c>
      <c r="NTI71" s="30" t="n"/>
      <c r="NTJ71" s="451" t="n"/>
      <c r="NTK71" s="34" t="n"/>
      <c r="NTL71" s="30" t="n"/>
      <c r="NTM71" s="138">
        <f>+NTI71-NTK71-NTM71</f>
        <v/>
      </c>
      <c r="NTN71" s="533" t="n"/>
      <c r="NTO71" s="515" t="inlineStr">
        <is>
          <t>SEGUROS</t>
        </is>
      </c>
      <c r="NTP71" s="534" t="inlineStr">
        <is>
          <t>RIMAC SEGUROS</t>
        </is>
      </c>
      <c r="NTQ71" s="447" t="n"/>
      <c r="NTR71" s="529" t="n">
        <v>1086478942</v>
      </c>
      <c r="NTS71" s="518" t="n"/>
      <c r="NTT71" s="519" t="n"/>
      <c r="NTU71" s="519" t="n">
        <v>45341</v>
      </c>
      <c r="NTX71" s="137" t="n">
        <v>218.95</v>
      </c>
      <c r="NTY71" s="30" t="n"/>
      <c r="NTZ71" s="451" t="n"/>
      <c r="NUA71" s="34" t="n"/>
      <c r="NUB71" s="30" t="n"/>
      <c r="NUC71" s="138">
        <f>+NTY71-NUA71-NUC71</f>
        <v/>
      </c>
      <c r="NUD71" s="533" t="n"/>
      <c r="NUE71" s="515" t="inlineStr">
        <is>
          <t>SEGUROS</t>
        </is>
      </c>
      <c r="NUF71" s="534" t="inlineStr">
        <is>
          <t>RIMAC SEGUROS</t>
        </is>
      </c>
      <c r="NUG71" s="447" t="n"/>
      <c r="NUH71" s="529" t="n">
        <v>1086478942</v>
      </c>
      <c r="NUI71" s="518" t="n"/>
      <c r="NUJ71" s="519" t="n"/>
      <c r="NUK71" s="519" t="n">
        <v>45341</v>
      </c>
      <c r="NUN71" s="137" t="n">
        <v>218.95</v>
      </c>
      <c r="NUO71" s="30" t="n"/>
      <c r="NUP71" s="451" t="n"/>
      <c r="NUQ71" s="34" t="n"/>
      <c r="NUR71" s="30" t="n"/>
      <c r="NUS71" s="138">
        <f>+NUO71-NUQ71-NUS71</f>
        <v/>
      </c>
      <c r="NUT71" s="533" t="n"/>
      <c r="NUU71" s="515" t="inlineStr">
        <is>
          <t>SEGUROS</t>
        </is>
      </c>
      <c r="NUV71" s="534" t="inlineStr">
        <is>
          <t>RIMAC SEGUROS</t>
        </is>
      </c>
      <c r="NUW71" s="447" t="n"/>
      <c r="NUX71" s="529" t="n">
        <v>1086478942</v>
      </c>
      <c r="NUY71" s="518" t="n"/>
      <c r="NUZ71" s="519" t="n"/>
      <c r="NVA71" s="519" t="n">
        <v>45341</v>
      </c>
      <c r="NVD71" s="137" t="n">
        <v>218.95</v>
      </c>
      <c r="NVE71" s="30" t="n"/>
      <c r="NVF71" s="451" t="n"/>
      <c r="NVG71" s="34" t="n"/>
      <c r="NVH71" s="30" t="n"/>
      <c r="NVI71" s="138">
        <f>+NVE71-NVG71-NVI71</f>
        <v/>
      </c>
      <c r="NVJ71" s="533" t="n"/>
      <c r="NVK71" s="515" t="inlineStr">
        <is>
          <t>SEGUROS</t>
        </is>
      </c>
      <c r="NVL71" s="534" t="inlineStr">
        <is>
          <t>RIMAC SEGUROS</t>
        </is>
      </c>
      <c r="NVM71" s="447" t="n"/>
      <c r="NVN71" s="529" t="n">
        <v>1086478942</v>
      </c>
      <c r="NVO71" s="518" t="n"/>
      <c r="NVP71" s="519" t="n"/>
      <c r="NVQ71" s="519" t="n">
        <v>45341</v>
      </c>
      <c r="NVT71" s="137" t="n">
        <v>218.95</v>
      </c>
      <c r="NVU71" s="30" t="n"/>
      <c r="NVV71" s="451" t="n"/>
      <c r="NVW71" s="34" t="n"/>
      <c r="NVX71" s="30" t="n"/>
      <c r="NVY71" s="138">
        <f>+NVU71-NVW71-NVY71</f>
        <v/>
      </c>
      <c r="NVZ71" s="533" t="n"/>
      <c r="NWA71" s="515" t="inlineStr">
        <is>
          <t>SEGUROS</t>
        </is>
      </c>
      <c r="NWB71" s="534" t="inlineStr">
        <is>
          <t>RIMAC SEGUROS</t>
        </is>
      </c>
      <c r="NWC71" s="447" t="n"/>
      <c r="NWD71" s="529" t="n">
        <v>1086478942</v>
      </c>
      <c r="NWE71" s="518" t="n"/>
      <c r="NWF71" s="519" t="n"/>
      <c r="NWG71" s="519" t="n">
        <v>45341</v>
      </c>
      <c r="NWJ71" s="137" t="n">
        <v>218.95</v>
      </c>
      <c r="NWK71" s="30" t="n"/>
      <c r="NWL71" s="451" t="n"/>
      <c r="NWM71" s="34" t="n"/>
      <c r="NWN71" s="30" t="n"/>
      <c r="NWO71" s="138">
        <f>+NWK71-NWM71-NWO71</f>
        <v/>
      </c>
      <c r="NWP71" s="533" t="n"/>
      <c r="NWQ71" s="515" t="inlineStr">
        <is>
          <t>SEGUROS</t>
        </is>
      </c>
      <c r="NWR71" s="534" t="inlineStr">
        <is>
          <t>RIMAC SEGUROS</t>
        </is>
      </c>
      <c r="NWS71" s="447" t="n"/>
      <c r="NWT71" s="529" t="n">
        <v>1086478942</v>
      </c>
      <c r="NWU71" s="518" t="n"/>
      <c r="NWV71" s="519" t="n"/>
      <c r="NWW71" s="519" t="n">
        <v>45341</v>
      </c>
      <c r="NWZ71" s="137" t="n">
        <v>218.95</v>
      </c>
      <c r="NXA71" s="30" t="n"/>
      <c r="NXB71" s="451" t="n"/>
      <c r="NXC71" s="34" t="n"/>
      <c r="NXD71" s="30" t="n"/>
      <c r="NXE71" s="138">
        <f>+NXA71-NXC71-NXE71</f>
        <v/>
      </c>
      <c r="NXF71" s="533" t="n"/>
      <c r="NXG71" s="515" t="inlineStr">
        <is>
          <t>SEGUROS</t>
        </is>
      </c>
      <c r="NXH71" s="534" t="inlineStr">
        <is>
          <t>RIMAC SEGUROS</t>
        </is>
      </c>
      <c r="NXI71" s="447" t="n"/>
      <c r="NXJ71" s="529" t="n">
        <v>1086478942</v>
      </c>
      <c r="NXK71" s="518" t="n"/>
      <c r="NXL71" s="519" t="n"/>
      <c r="NXM71" s="519" t="n">
        <v>45341</v>
      </c>
      <c r="NXP71" s="137" t="n">
        <v>218.95</v>
      </c>
      <c r="NXQ71" s="30" t="n"/>
      <c r="NXR71" s="451" t="n"/>
      <c r="NXS71" s="34" t="n"/>
      <c r="NXT71" s="30" t="n"/>
      <c r="NXU71" s="138">
        <f>+NXQ71-NXS71-NXU71</f>
        <v/>
      </c>
      <c r="NXV71" s="533" t="n"/>
      <c r="NXW71" s="515" t="inlineStr">
        <is>
          <t>SEGUROS</t>
        </is>
      </c>
      <c r="NXX71" s="534" t="inlineStr">
        <is>
          <t>RIMAC SEGUROS</t>
        </is>
      </c>
      <c r="NXY71" s="447" t="n"/>
      <c r="NXZ71" s="529" t="n">
        <v>1086478942</v>
      </c>
      <c r="NYA71" s="518" t="n"/>
      <c r="NYB71" s="519" t="n"/>
      <c r="NYC71" s="519" t="n">
        <v>45341</v>
      </c>
      <c r="NYF71" s="137" t="n">
        <v>218.95</v>
      </c>
      <c r="NYG71" s="30" t="n"/>
      <c r="NYH71" s="451" t="n"/>
      <c r="NYI71" s="34" t="n"/>
      <c r="NYJ71" s="30" t="n"/>
      <c r="NYK71" s="138">
        <f>+NYG71-NYI71-NYK71</f>
        <v/>
      </c>
      <c r="NYL71" s="533" t="n"/>
      <c r="NYM71" s="515" t="inlineStr">
        <is>
          <t>SEGUROS</t>
        </is>
      </c>
      <c r="NYN71" s="534" t="inlineStr">
        <is>
          <t>RIMAC SEGUROS</t>
        </is>
      </c>
      <c r="NYO71" s="447" t="n"/>
      <c r="NYP71" s="529" t="n">
        <v>1086478942</v>
      </c>
      <c r="NYQ71" s="518" t="n"/>
      <c r="NYR71" s="519" t="n"/>
      <c r="NYS71" s="519" t="n">
        <v>45341</v>
      </c>
      <c r="NYV71" s="137" t="n">
        <v>218.95</v>
      </c>
      <c r="NYW71" s="30" t="n"/>
      <c r="NYX71" s="451" t="n"/>
      <c r="NYY71" s="34" t="n"/>
      <c r="NYZ71" s="30" t="n"/>
      <c r="NZA71" s="138">
        <f>+NYW71-NYY71-NZA71</f>
        <v/>
      </c>
      <c r="NZB71" s="533" t="n"/>
      <c r="NZC71" s="515" t="inlineStr">
        <is>
          <t>SEGUROS</t>
        </is>
      </c>
      <c r="NZD71" s="534" t="inlineStr">
        <is>
          <t>RIMAC SEGUROS</t>
        </is>
      </c>
      <c r="NZE71" s="447" t="n"/>
      <c r="NZF71" s="529" t="n">
        <v>1086478942</v>
      </c>
      <c r="NZG71" s="518" t="n"/>
      <c r="NZH71" s="519" t="n"/>
      <c r="NZI71" s="519" t="n">
        <v>45341</v>
      </c>
      <c r="NZL71" s="137" t="n">
        <v>218.95</v>
      </c>
      <c r="NZM71" s="30" t="n"/>
      <c r="NZN71" s="451" t="n"/>
      <c r="NZO71" s="34" t="n"/>
      <c r="NZP71" s="30" t="n"/>
      <c r="NZQ71" s="138">
        <f>+NZM71-NZO71-NZQ71</f>
        <v/>
      </c>
      <c r="NZR71" s="533" t="n"/>
      <c r="NZS71" s="515" t="inlineStr">
        <is>
          <t>SEGUROS</t>
        </is>
      </c>
      <c r="NZT71" s="534" t="inlineStr">
        <is>
          <t>RIMAC SEGUROS</t>
        </is>
      </c>
      <c r="NZU71" s="447" t="n"/>
      <c r="NZV71" s="529" t="n">
        <v>1086478942</v>
      </c>
      <c r="NZW71" s="518" t="n"/>
      <c r="NZX71" s="519" t="n"/>
      <c r="NZY71" s="519" t="n">
        <v>45341</v>
      </c>
      <c r="OAB71" s="137" t="n">
        <v>218.95</v>
      </c>
      <c r="OAC71" s="30" t="n"/>
      <c r="OAD71" s="451" t="n"/>
      <c r="OAE71" s="34" t="n"/>
      <c r="OAF71" s="30" t="n"/>
      <c r="OAG71" s="138">
        <f>+OAC71-OAE71-OAG71</f>
        <v/>
      </c>
      <c r="OAH71" s="533" t="n"/>
      <c r="OAI71" s="515" t="inlineStr">
        <is>
          <t>SEGUROS</t>
        </is>
      </c>
      <c r="OAJ71" s="534" t="inlineStr">
        <is>
          <t>RIMAC SEGUROS</t>
        </is>
      </c>
      <c r="OAK71" s="447" t="n"/>
      <c r="OAL71" s="529" t="n">
        <v>1086478942</v>
      </c>
      <c r="OAM71" s="518" t="n"/>
      <c r="OAN71" s="519" t="n"/>
      <c r="OAO71" s="519" t="n">
        <v>45341</v>
      </c>
      <c r="OAR71" s="137" t="n">
        <v>218.95</v>
      </c>
      <c r="OAS71" s="30" t="n"/>
      <c r="OAT71" s="451" t="n"/>
      <c r="OAU71" s="34" t="n"/>
      <c r="OAV71" s="30" t="n"/>
      <c r="OAW71" s="138">
        <f>+OAS71-OAU71-OAW71</f>
        <v/>
      </c>
      <c r="OAX71" s="533" t="n"/>
      <c r="OAY71" s="515" t="inlineStr">
        <is>
          <t>SEGUROS</t>
        </is>
      </c>
      <c r="OAZ71" s="534" t="inlineStr">
        <is>
          <t>RIMAC SEGUROS</t>
        </is>
      </c>
      <c r="OBA71" s="447" t="n"/>
      <c r="OBB71" s="529" t="n">
        <v>1086478942</v>
      </c>
      <c r="OBC71" s="518" t="n"/>
      <c r="OBD71" s="519" t="n"/>
      <c r="OBE71" s="519" t="n">
        <v>45341</v>
      </c>
      <c r="OBH71" s="137" t="n">
        <v>218.95</v>
      </c>
      <c r="OBI71" s="30" t="n"/>
      <c r="OBJ71" s="451" t="n"/>
      <c r="OBK71" s="34" t="n"/>
      <c r="OBL71" s="30" t="n"/>
      <c r="OBM71" s="138">
        <f>+OBI71-OBK71-OBM71</f>
        <v/>
      </c>
      <c r="OBN71" s="533" t="n"/>
      <c r="OBO71" s="515" t="inlineStr">
        <is>
          <t>SEGUROS</t>
        </is>
      </c>
      <c r="OBP71" s="534" t="inlineStr">
        <is>
          <t>RIMAC SEGUROS</t>
        </is>
      </c>
      <c r="OBQ71" s="447" t="n"/>
      <c r="OBR71" s="529" t="n">
        <v>1086478942</v>
      </c>
      <c r="OBS71" s="518" t="n"/>
      <c r="OBT71" s="519" t="n"/>
      <c r="OBU71" s="519" t="n">
        <v>45341</v>
      </c>
      <c r="OBX71" s="137" t="n">
        <v>218.95</v>
      </c>
      <c r="OBY71" s="30" t="n"/>
      <c r="OBZ71" s="451" t="n"/>
      <c r="OCA71" s="34" t="n"/>
      <c r="OCB71" s="30" t="n"/>
      <c r="OCC71" s="138">
        <f>+OBY71-OCA71-OCC71</f>
        <v/>
      </c>
      <c r="OCD71" s="533" t="n"/>
      <c r="OCE71" s="515" t="inlineStr">
        <is>
          <t>SEGUROS</t>
        </is>
      </c>
      <c r="OCF71" s="534" t="inlineStr">
        <is>
          <t>RIMAC SEGUROS</t>
        </is>
      </c>
      <c r="OCG71" s="447" t="n"/>
      <c r="OCH71" s="529" t="n">
        <v>1086478942</v>
      </c>
      <c r="OCI71" s="518" t="n"/>
      <c r="OCJ71" s="519" t="n"/>
      <c r="OCK71" s="519" t="n">
        <v>45341</v>
      </c>
      <c r="OCN71" s="137" t="n">
        <v>218.95</v>
      </c>
      <c r="OCO71" s="30" t="n"/>
      <c r="OCP71" s="451" t="n"/>
      <c r="OCQ71" s="34" t="n"/>
      <c r="OCR71" s="30" t="n"/>
      <c r="OCS71" s="138">
        <f>+OCO71-OCQ71-OCS71</f>
        <v/>
      </c>
      <c r="OCT71" s="533" t="n"/>
      <c r="OCU71" s="515" t="inlineStr">
        <is>
          <t>SEGUROS</t>
        </is>
      </c>
      <c r="OCV71" s="534" t="inlineStr">
        <is>
          <t>RIMAC SEGUROS</t>
        </is>
      </c>
      <c r="OCW71" s="447" t="n"/>
      <c r="OCX71" s="529" t="n">
        <v>1086478942</v>
      </c>
      <c r="OCY71" s="518" t="n"/>
      <c r="OCZ71" s="519" t="n"/>
      <c r="ODA71" s="519" t="n">
        <v>45341</v>
      </c>
      <c r="ODD71" s="137" t="n">
        <v>218.95</v>
      </c>
      <c r="ODE71" s="30" t="n"/>
      <c r="ODF71" s="451" t="n"/>
      <c r="ODG71" s="34" t="n"/>
      <c r="ODH71" s="30" t="n"/>
      <c r="ODI71" s="138">
        <f>+ODE71-ODG71-ODI71</f>
        <v/>
      </c>
      <c r="ODJ71" s="533" t="n"/>
      <c r="ODK71" s="515" t="inlineStr">
        <is>
          <t>SEGUROS</t>
        </is>
      </c>
      <c r="ODL71" s="534" t="inlineStr">
        <is>
          <t>RIMAC SEGUROS</t>
        </is>
      </c>
      <c r="ODM71" s="447" t="n"/>
      <c r="ODN71" s="529" t="n">
        <v>1086478942</v>
      </c>
      <c r="ODO71" s="518" t="n"/>
      <c r="ODP71" s="519" t="n"/>
      <c r="ODQ71" s="519" t="n">
        <v>45341</v>
      </c>
      <c r="ODT71" s="137" t="n">
        <v>218.95</v>
      </c>
      <c r="ODU71" s="30" t="n"/>
      <c r="ODV71" s="451" t="n"/>
      <c r="ODW71" s="34" t="n"/>
      <c r="ODX71" s="30" t="n"/>
      <c r="ODY71" s="138">
        <f>+ODU71-ODW71-ODY71</f>
        <v/>
      </c>
      <c r="ODZ71" s="533" t="n"/>
      <c r="OEA71" s="515" t="inlineStr">
        <is>
          <t>SEGUROS</t>
        </is>
      </c>
      <c r="OEB71" s="534" t="inlineStr">
        <is>
          <t>RIMAC SEGUROS</t>
        </is>
      </c>
      <c r="OEC71" s="447" t="n"/>
      <c r="OED71" s="529" t="n">
        <v>1086478942</v>
      </c>
      <c r="OEE71" s="518" t="n"/>
      <c r="OEF71" s="519" t="n"/>
      <c r="OEG71" s="519" t="n">
        <v>45341</v>
      </c>
      <c r="OEJ71" s="137" t="n">
        <v>218.95</v>
      </c>
      <c r="OEK71" s="30" t="n"/>
      <c r="OEL71" s="451" t="n"/>
      <c r="OEM71" s="34" t="n"/>
      <c r="OEN71" s="30" t="n"/>
      <c r="OEO71" s="138">
        <f>+OEK71-OEM71-OEO71</f>
        <v/>
      </c>
      <c r="OEP71" s="533" t="n"/>
      <c r="OEQ71" s="515" t="inlineStr">
        <is>
          <t>SEGUROS</t>
        </is>
      </c>
      <c r="OER71" s="534" t="inlineStr">
        <is>
          <t>RIMAC SEGUROS</t>
        </is>
      </c>
      <c r="OES71" s="447" t="n"/>
      <c r="OET71" s="529" t="n">
        <v>1086478942</v>
      </c>
      <c r="OEU71" s="518" t="n"/>
      <c r="OEV71" s="519" t="n"/>
      <c r="OEW71" s="519" t="n">
        <v>45341</v>
      </c>
      <c r="OEZ71" s="137" t="n">
        <v>218.95</v>
      </c>
      <c r="OFA71" s="30" t="n"/>
      <c r="OFB71" s="451" t="n"/>
      <c r="OFC71" s="34" t="n"/>
      <c r="OFD71" s="30" t="n"/>
      <c r="OFE71" s="138">
        <f>+OFA71-OFC71-OFE71</f>
        <v/>
      </c>
      <c r="OFF71" s="533" t="n"/>
      <c r="OFG71" s="515" t="inlineStr">
        <is>
          <t>SEGUROS</t>
        </is>
      </c>
      <c r="OFH71" s="534" t="inlineStr">
        <is>
          <t>RIMAC SEGUROS</t>
        </is>
      </c>
      <c r="OFI71" s="447" t="n"/>
      <c r="OFJ71" s="529" t="n">
        <v>1086478942</v>
      </c>
      <c r="OFK71" s="518" t="n"/>
      <c r="OFL71" s="519" t="n"/>
      <c r="OFM71" s="519" t="n">
        <v>45341</v>
      </c>
      <c r="OFP71" s="137" t="n">
        <v>218.95</v>
      </c>
      <c r="OFQ71" s="30" t="n"/>
      <c r="OFR71" s="451" t="n"/>
      <c r="OFS71" s="34" t="n"/>
      <c r="OFT71" s="30" t="n"/>
      <c r="OFU71" s="138">
        <f>+OFQ71-OFS71-OFU71</f>
        <v/>
      </c>
      <c r="OFV71" s="533" t="n"/>
      <c r="OFW71" s="515" t="inlineStr">
        <is>
          <t>SEGUROS</t>
        </is>
      </c>
      <c r="OFX71" s="534" t="inlineStr">
        <is>
          <t>RIMAC SEGUROS</t>
        </is>
      </c>
      <c r="OFY71" s="447" t="n"/>
      <c r="OFZ71" s="529" t="n">
        <v>1086478942</v>
      </c>
      <c r="OGA71" s="518" t="n"/>
      <c r="OGB71" s="519" t="n"/>
      <c r="OGC71" s="519" t="n">
        <v>45341</v>
      </c>
      <c r="OGF71" s="137" t="n">
        <v>218.95</v>
      </c>
      <c r="OGG71" s="30" t="n"/>
      <c r="OGH71" s="451" t="n"/>
      <c r="OGI71" s="34" t="n"/>
      <c r="OGJ71" s="30" t="n"/>
      <c r="OGK71" s="138">
        <f>+OGG71-OGI71-OGK71</f>
        <v/>
      </c>
      <c r="OGL71" s="533" t="n"/>
      <c r="OGM71" s="515" t="inlineStr">
        <is>
          <t>SEGUROS</t>
        </is>
      </c>
      <c r="OGN71" s="534" t="inlineStr">
        <is>
          <t>RIMAC SEGUROS</t>
        </is>
      </c>
      <c r="OGO71" s="447" t="n"/>
      <c r="OGP71" s="529" t="n">
        <v>1086478942</v>
      </c>
      <c r="OGQ71" s="518" t="n"/>
      <c r="OGR71" s="519" t="n"/>
      <c r="OGS71" s="519" t="n">
        <v>45341</v>
      </c>
      <c r="OGV71" s="137" t="n">
        <v>218.95</v>
      </c>
      <c r="OGW71" s="30" t="n"/>
      <c r="OGX71" s="451" t="n"/>
      <c r="OGY71" s="34" t="n"/>
      <c r="OGZ71" s="30" t="n"/>
      <c r="OHA71" s="138">
        <f>+OGW71-OGY71-OHA71</f>
        <v/>
      </c>
      <c r="OHB71" s="533" t="n"/>
      <c r="OHC71" s="515" t="inlineStr">
        <is>
          <t>SEGUROS</t>
        </is>
      </c>
      <c r="OHD71" s="534" t="inlineStr">
        <is>
          <t>RIMAC SEGUROS</t>
        </is>
      </c>
      <c r="OHE71" s="447" t="n"/>
      <c r="OHF71" s="529" t="n">
        <v>1086478942</v>
      </c>
      <c r="OHG71" s="518" t="n"/>
      <c r="OHH71" s="519" t="n"/>
      <c r="OHI71" s="519" t="n">
        <v>45341</v>
      </c>
      <c r="OHL71" s="137" t="n">
        <v>218.95</v>
      </c>
      <c r="OHM71" s="30" t="n"/>
      <c r="OHN71" s="451" t="n"/>
      <c r="OHO71" s="34" t="n"/>
      <c r="OHP71" s="30" t="n"/>
      <c r="OHQ71" s="138">
        <f>+OHM71-OHO71-OHQ71</f>
        <v/>
      </c>
      <c r="OHR71" s="533" t="n"/>
      <c r="OHS71" s="515" t="inlineStr">
        <is>
          <t>SEGUROS</t>
        </is>
      </c>
      <c r="OHT71" s="534" t="inlineStr">
        <is>
          <t>RIMAC SEGUROS</t>
        </is>
      </c>
      <c r="OHU71" s="447" t="n"/>
      <c r="OHV71" s="529" t="n">
        <v>1086478942</v>
      </c>
      <c r="OHW71" s="518" t="n"/>
      <c r="OHX71" s="519" t="n"/>
      <c r="OHY71" s="519" t="n">
        <v>45341</v>
      </c>
      <c r="OIB71" s="137" t="n">
        <v>218.95</v>
      </c>
      <c r="OIC71" s="30" t="n"/>
      <c r="OID71" s="451" t="n"/>
      <c r="OIE71" s="34" t="n"/>
      <c r="OIF71" s="30" t="n"/>
      <c r="OIG71" s="138">
        <f>+OIC71-OIE71-OIG71</f>
        <v/>
      </c>
      <c r="OIH71" s="533" t="n"/>
      <c r="OII71" s="515" t="inlineStr">
        <is>
          <t>SEGUROS</t>
        </is>
      </c>
      <c r="OIJ71" s="534" t="inlineStr">
        <is>
          <t>RIMAC SEGUROS</t>
        </is>
      </c>
      <c r="OIK71" s="447" t="n"/>
      <c r="OIL71" s="529" t="n">
        <v>1086478942</v>
      </c>
      <c r="OIM71" s="518" t="n"/>
      <c r="OIN71" s="519" t="n"/>
      <c r="OIO71" s="519" t="n">
        <v>45341</v>
      </c>
      <c r="OIR71" s="137" t="n">
        <v>218.95</v>
      </c>
      <c r="OIS71" s="30" t="n"/>
      <c r="OIT71" s="451" t="n"/>
      <c r="OIU71" s="34" t="n"/>
      <c r="OIV71" s="30" t="n"/>
      <c r="OIW71" s="138">
        <f>+OIS71-OIU71-OIW71</f>
        <v/>
      </c>
      <c r="OIX71" s="533" t="n"/>
      <c r="OIY71" s="515" t="inlineStr">
        <is>
          <t>SEGUROS</t>
        </is>
      </c>
      <c r="OIZ71" s="534" t="inlineStr">
        <is>
          <t>RIMAC SEGUROS</t>
        </is>
      </c>
      <c r="OJA71" s="447" t="n"/>
      <c r="OJB71" s="529" t="n">
        <v>1086478942</v>
      </c>
      <c r="OJC71" s="518" t="n"/>
      <c r="OJD71" s="519" t="n"/>
      <c r="OJE71" s="519" t="n">
        <v>45341</v>
      </c>
      <c r="OJH71" s="137" t="n">
        <v>218.95</v>
      </c>
      <c r="OJI71" s="30" t="n"/>
      <c r="OJJ71" s="451" t="n"/>
      <c r="OJK71" s="34" t="n"/>
      <c r="OJL71" s="30" t="n"/>
      <c r="OJM71" s="138">
        <f>+OJI71-OJK71-OJM71</f>
        <v/>
      </c>
      <c r="OJN71" s="533" t="n"/>
      <c r="OJO71" s="515" t="inlineStr">
        <is>
          <t>SEGUROS</t>
        </is>
      </c>
      <c r="OJP71" s="534" t="inlineStr">
        <is>
          <t>RIMAC SEGUROS</t>
        </is>
      </c>
      <c r="OJQ71" s="447" t="n"/>
      <c r="OJR71" s="529" t="n">
        <v>1086478942</v>
      </c>
      <c r="OJS71" s="518" t="n"/>
      <c r="OJT71" s="519" t="n"/>
      <c r="OJU71" s="519" t="n">
        <v>45341</v>
      </c>
      <c r="OJX71" s="137" t="n">
        <v>218.95</v>
      </c>
      <c r="OJY71" s="30" t="n"/>
      <c r="OJZ71" s="451" t="n"/>
      <c r="OKA71" s="34" t="n"/>
      <c r="OKB71" s="30" t="n"/>
      <c r="OKC71" s="138">
        <f>+OJY71-OKA71-OKC71</f>
        <v/>
      </c>
      <c r="OKD71" s="533" t="n"/>
      <c r="OKE71" s="515" t="inlineStr">
        <is>
          <t>SEGUROS</t>
        </is>
      </c>
      <c r="OKF71" s="534" t="inlineStr">
        <is>
          <t>RIMAC SEGUROS</t>
        </is>
      </c>
      <c r="OKG71" s="447" t="n"/>
      <c r="OKH71" s="529" t="n">
        <v>1086478942</v>
      </c>
      <c r="OKI71" s="518" t="n"/>
      <c r="OKJ71" s="519" t="n"/>
      <c r="OKK71" s="519" t="n">
        <v>45341</v>
      </c>
      <c r="OKN71" s="137" t="n">
        <v>218.95</v>
      </c>
      <c r="OKO71" s="30" t="n"/>
      <c r="OKP71" s="451" t="n"/>
      <c r="OKQ71" s="34" t="n"/>
      <c r="OKR71" s="30" t="n"/>
      <c r="OKS71" s="138">
        <f>+OKO71-OKQ71-OKS71</f>
        <v/>
      </c>
      <c r="OKT71" s="533" t="n"/>
      <c r="OKU71" s="515" t="inlineStr">
        <is>
          <t>SEGUROS</t>
        </is>
      </c>
      <c r="OKV71" s="534" t="inlineStr">
        <is>
          <t>RIMAC SEGUROS</t>
        </is>
      </c>
      <c r="OKW71" s="447" t="n"/>
      <c r="OKX71" s="529" t="n">
        <v>1086478942</v>
      </c>
      <c r="OKY71" s="518" t="n"/>
      <c r="OKZ71" s="519" t="n"/>
      <c r="OLA71" s="519" t="n">
        <v>45341</v>
      </c>
      <c r="OLD71" s="137" t="n">
        <v>218.95</v>
      </c>
      <c r="OLE71" s="30" t="n"/>
      <c r="OLF71" s="451" t="n"/>
      <c r="OLG71" s="34" t="n"/>
      <c r="OLH71" s="30" t="n"/>
      <c r="OLI71" s="138">
        <f>+OLE71-OLG71-OLI71</f>
        <v/>
      </c>
      <c r="OLJ71" s="533" t="n"/>
      <c r="OLK71" s="515" t="inlineStr">
        <is>
          <t>SEGUROS</t>
        </is>
      </c>
      <c r="OLL71" s="534" t="inlineStr">
        <is>
          <t>RIMAC SEGUROS</t>
        </is>
      </c>
      <c r="OLM71" s="447" t="n"/>
      <c r="OLN71" s="529" t="n">
        <v>1086478942</v>
      </c>
      <c r="OLO71" s="518" t="n"/>
      <c r="OLP71" s="519" t="n"/>
      <c r="OLQ71" s="519" t="n">
        <v>45341</v>
      </c>
      <c r="OLT71" s="137" t="n">
        <v>218.95</v>
      </c>
      <c r="OLU71" s="30" t="n"/>
      <c r="OLV71" s="451" t="n"/>
      <c r="OLW71" s="34" t="n"/>
      <c r="OLX71" s="30" t="n"/>
      <c r="OLY71" s="138">
        <f>+OLU71-OLW71-OLY71</f>
        <v/>
      </c>
      <c r="OLZ71" s="533" t="n"/>
      <c r="OMA71" s="515" t="inlineStr">
        <is>
          <t>SEGUROS</t>
        </is>
      </c>
      <c r="OMB71" s="534" t="inlineStr">
        <is>
          <t>RIMAC SEGUROS</t>
        </is>
      </c>
      <c r="OMC71" s="447" t="n"/>
      <c r="OMD71" s="529" t="n">
        <v>1086478942</v>
      </c>
      <c r="OME71" s="518" t="n"/>
      <c r="OMF71" s="519" t="n"/>
      <c r="OMG71" s="519" t="n">
        <v>45341</v>
      </c>
      <c r="OMJ71" s="137" t="n">
        <v>218.95</v>
      </c>
      <c r="OMK71" s="30" t="n"/>
      <c r="OML71" s="451" t="n"/>
      <c r="OMM71" s="34" t="n"/>
      <c r="OMN71" s="30" t="n"/>
      <c r="OMO71" s="138">
        <f>+OMK71-OMM71-OMO71</f>
        <v/>
      </c>
      <c r="OMP71" s="533" t="n"/>
      <c r="OMQ71" s="515" t="inlineStr">
        <is>
          <t>SEGUROS</t>
        </is>
      </c>
      <c r="OMR71" s="534" t="inlineStr">
        <is>
          <t>RIMAC SEGUROS</t>
        </is>
      </c>
      <c r="OMS71" s="447" t="n"/>
      <c r="OMT71" s="529" t="n">
        <v>1086478942</v>
      </c>
      <c r="OMU71" s="518" t="n"/>
      <c r="OMV71" s="519" t="n"/>
      <c r="OMW71" s="519" t="n">
        <v>45341</v>
      </c>
      <c r="OMZ71" s="137" t="n">
        <v>218.95</v>
      </c>
      <c r="ONA71" s="30" t="n"/>
      <c r="ONB71" s="451" t="n"/>
      <c r="ONC71" s="34" t="n"/>
      <c r="OND71" s="30" t="n"/>
      <c r="ONE71" s="138">
        <f>+ONA71-ONC71-ONE71</f>
        <v/>
      </c>
      <c r="ONF71" s="533" t="n"/>
      <c r="ONG71" s="515" t="inlineStr">
        <is>
          <t>SEGUROS</t>
        </is>
      </c>
      <c r="ONH71" s="534" t="inlineStr">
        <is>
          <t>RIMAC SEGUROS</t>
        </is>
      </c>
      <c r="ONI71" s="447" t="n"/>
      <c r="ONJ71" s="529" t="n">
        <v>1086478942</v>
      </c>
      <c r="ONK71" s="518" t="n"/>
      <c r="ONL71" s="519" t="n"/>
      <c r="ONM71" s="519" t="n">
        <v>45341</v>
      </c>
      <c r="ONP71" s="137" t="n">
        <v>218.95</v>
      </c>
      <c r="ONQ71" s="30" t="n"/>
      <c r="ONR71" s="451" t="n"/>
      <c r="ONS71" s="34" t="n"/>
      <c r="ONT71" s="30" t="n"/>
      <c r="ONU71" s="138">
        <f>+ONQ71-ONS71-ONU71</f>
        <v/>
      </c>
      <c r="ONV71" s="533" t="n"/>
      <c r="ONW71" s="515" t="inlineStr">
        <is>
          <t>SEGUROS</t>
        </is>
      </c>
      <c r="ONX71" s="534" t="inlineStr">
        <is>
          <t>RIMAC SEGUROS</t>
        </is>
      </c>
      <c r="ONY71" s="447" t="n"/>
      <c r="ONZ71" s="529" t="n">
        <v>1086478942</v>
      </c>
      <c r="OOA71" s="518" t="n"/>
      <c r="OOB71" s="519" t="n"/>
      <c r="OOC71" s="519" t="n">
        <v>45341</v>
      </c>
      <c r="OOF71" s="137" t="n">
        <v>218.95</v>
      </c>
      <c r="OOG71" s="30" t="n"/>
      <c r="OOH71" s="451" t="n"/>
      <c r="OOI71" s="34" t="n"/>
      <c r="OOJ71" s="30" t="n"/>
      <c r="OOK71" s="138">
        <f>+OOG71-OOI71-OOK71</f>
        <v/>
      </c>
      <c r="OOL71" s="533" t="n"/>
      <c r="OOM71" s="515" t="inlineStr">
        <is>
          <t>SEGUROS</t>
        </is>
      </c>
      <c r="OON71" s="534" t="inlineStr">
        <is>
          <t>RIMAC SEGUROS</t>
        </is>
      </c>
      <c r="OOO71" s="447" t="n"/>
      <c r="OOP71" s="529" t="n">
        <v>1086478942</v>
      </c>
      <c r="OOQ71" s="518" t="n"/>
      <c r="OOR71" s="519" t="n"/>
      <c r="OOS71" s="519" t="n">
        <v>45341</v>
      </c>
      <c r="OOV71" s="137" t="n">
        <v>218.95</v>
      </c>
      <c r="OOW71" s="30" t="n"/>
      <c r="OOX71" s="451" t="n"/>
      <c r="OOY71" s="34" t="n"/>
      <c r="OOZ71" s="30" t="n"/>
      <c r="OPA71" s="138">
        <f>+OOW71-OOY71-OPA71</f>
        <v/>
      </c>
      <c r="OPB71" s="533" t="n"/>
      <c r="OPC71" s="515" t="inlineStr">
        <is>
          <t>SEGUROS</t>
        </is>
      </c>
      <c r="OPD71" s="534" t="inlineStr">
        <is>
          <t>RIMAC SEGUROS</t>
        </is>
      </c>
      <c r="OPE71" s="447" t="n"/>
      <c r="OPF71" s="529" t="n">
        <v>1086478942</v>
      </c>
      <c r="OPG71" s="518" t="n"/>
      <c r="OPH71" s="519" t="n"/>
      <c r="OPI71" s="519" t="n">
        <v>45341</v>
      </c>
      <c r="OPL71" s="137" t="n">
        <v>218.95</v>
      </c>
      <c r="OPM71" s="30" t="n"/>
      <c r="OPN71" s="451" t="n"/>
      <c r="OPO71" s="34" t="n"/>
      <c r="OPP71" s="30" t="n"/>
      <c r="OPQ71" s="138">
        <f>+OPM71-OPO71-OPQ71</f>
        <v/>
      </c>
      <c r="OPR71" s="533" t="n"/>
      <c r="OPS71" s="515" t="inlineStr">
        <is>
          <t>SEGUROS</t>
        </is>
      </c>
      <c r="OPT71" s="534" t="inlineStr">
        <is>
          <t>RIMAC SEGUROS</t>
        </is>
      </c>
      <c r="OPU71" s="447" t="n"/>
      <c r="OPV71" s="529" t="n">
        <v>1086478942</v>
      </c>
      <c r="OPW71" s="518" t="n"/>
      <c r="OPX71" s="519" t="n"/>
      <c r="OPY71" s="519" t="n">
        <v>45341</v>
      </c>
      <c r="OQB71" s="137" t="n">
        <v>218.95</v>
      </c>
      <c r="OQC71" s="30" t="n"/>
      <c r="OQD71" s="451" t="n"/>
      <c r="OQE71" s="34" t="n"/>
      <c r="OQF71" s="30" t="n"/>
      <c r="OQG71" s="138">
        <f>+OQC71-OQE71-OQG71</f>
        <v/>
      </c>
      <c r="OQH71" s="533" t="n"/>
      <c r="OQI71" s="515" t="inlineStr">
        <is>
          <t>SEGUROS</t>
        </is>
      </c>
      <c r="OQJ71" s="534" t="inlineStr">
        <is>
          <t>RIMAC SEGUROS</t>
        </is>
      </c>
      <c r="OQK71" s="447" t="n"/>
      <c r="OQL71" s="529" t="n">
        <v>1086478942</v>
      </c>
      <c r="OQM71" s="518" t="n"/>
      <c r="OQN71" s="519" t="n"/>
      <c r="OQO71" s="519" t="n">
        <v>45341</v>
      </c>
      <c r="OQR71" s="137" t="n">
        <v>218.95</v>
      </c>
      <c r="OQS71" s="30" t="n"/>
      <c r="OQT71" s="451" t="n"/>
      <c r="OQU71" s="34" t="n"/>
      <c r="OQV71" s="30" t="n"/>
      <c r="OQW71" s="138">
        <f>+OQS71-OQU71-OQW71</f>
        <v/>
      </c>
      <c r="OQX71" s="533" t="n"/>
      <c r="OQY71" s="515" t="inlineStr">
        <is>
          <t>SEGUROS</t>
        </is>
      </c>
      <c r="OQZ71" s="534" t="inlineStr">
        <is>
          <t>RIMAC SEGUROS</t>
        </is>
      </c>
      <c r="ORA71" s="447" t="n"/>
      <c r="ORB71" s="529" t="n">
        <v>1086478942</v>
      </c>
      <c r="ORC71" s="518" t="n"/>
      <c r="ORD71" s="519" t="n"/>
      <c r="ORE71" s="519" t="n">
        <v>45341</v>
      </c>
      <c r="ORH71" s="137" t="n">
        <v>218.95</v>
      </c>
      <c r="ORI71" s="30" t="n"/>
      <c r="ORJ71" s="451" t="n"/>
      <c r="ORK71" s="34" t="n"/>
      <c r="ORL71" s="30" t="n"/>
      <c r="ORM71" s="138">
        <f>+ORI71-ORK71-ORM71</f>
        <v/>
      </c>
      <c r="ORN71" s="533" t="n"/>
      <c r="ORO71" s="515" t="inlineStr">
        <is>
          <t>SEGUROS</t>
        </is>
      </c>
      <c r="ORP71" s="534" t="inlineStr">
        <is>
          <t>RIMAC SEGUROS</t>
        </is>
      </c>
      <c r="ORQ71" s="447" t="n"/>
      <c r="ORR71" s="529" t="n">
        <v>1086478942</v>
      </c>
      <c r="ORS71" s="518" t="n"/>
      <c r="ORT71" s="519" t="n"/>
      <c r="ORU71" s="519" t="n">
        <v>45341</v>
      </c>
      <c r="ORX71" s="137" t="n">
        <v>218.95</v>
      </c>
      <c r="ORY71" s="30" t="n"/>
      <c r="ORZ71" s="451" t="n"/>
      <c r="OSA71" s="34" t="n"/>
      <c r="OSB71" s="30" t="n"/>
      <c r="OSC71" s="138">
        <f>+ORY71-OSA71-OSC71</f>
        <v/>
      </c>
      <c r="OSD71" s="533" t="n"/>
      <c r="OSE71" s="515" t="inlineStr">
        <is>
          <t>SEGUROS</t>
        </is>
      </c>
      <c r="OSF71" s="534" t="inlineStr">
        <is>
          <t>RIMAC SEGUROS</t>
        </is>
      </c>
      <c r="OSG71" s="447" t="n"/>
      <c r="OSH71" s="529" t="n">
        <v>1086478942</v>
      </c>
      <c r="OSI71" s="518" t="n"/>
      <c r="OSJ71" s="519" t="n"/>
      <c r="OSK71" s="519" t="n">
        <v>45341</v>
      </c>
      <c r="OSN71" s="137" t="n">
        <v>218.95</v>
      </c>
      <c r="OSO71" s="30" t="n"/>
      <c r="OSP71" s="451" t="n"/>
      <c r="OSQ71" s="34" t="n"/>
      <c r="OSR71" s="30" t="n"/>
      <c r="OSS71" s="138">
        <f>+OSO71-OSQ71-OSS71</f>
        <v/>
      </c>
      <c r="OST71" s="533" t="n"/>
      <c r="OSU71" s="515" t="inlineStr">
        <is>
          <t>SEGUROS</t>
        </is>
      </c>
      <c r="OSV71" s="534" t="inlineStr">
        <is>
          <t>RIMAC SEGUROS</t>
        </is>
      </c>
      <c r="OSW71" s="447" t="n"/>
      <c r="OSX71" s="529" t="n">
        <v>1086478942</v>
      </c>
      <c r="OSY71" s="518" t="n"/>
      <c r="OSZ71" s="519" t="n"/>
      <c r="OTA71" s="519" t="n">
        <v>45341</v>
      </c>
      <c r="OTD71" s="137" t="n">
        <v>218.95</v>
      </c>
      <c r="OTE71" s="30" t="n"/>
      <c r="OTF71" s="451" t="n"/>
      <c r="OTG71" s="34" t="n"/>
      <c r="OTH71" s="30" t="n"/>
      <c r="OTI71" s="138">
        <f>+OTE71-OTG71-OTI71</f>
        <v/>
      </c>
      <c r="OTJ71" s="533" t="n"/>
      <c r="OTK71" s="515" t="inlineStr">
        <is>
          <t>SEGUROS</t>
        </is>
      </c>
      <c r="OTL71" s="534" t="inlineStr">
        <is>
          <t>RIMAC SEGUROS</t>
        </is>
      </c>
      <c r="OTM71" s="447" t="n"/>
      <c r="OTN71" s="529" t="n">
        <v>1086478942</v>
      </c>
      <c r="OTO71" s="518" t="n"/>
      <c r="OTP71" s="519" t="n"/>
      <c r="OTQ71" s="519" t="n">
        <v>45341</v>
      </c>
      <c r="OTT71" s="137" t="n">
        <v>218.95</v>
      </c>
      <c r="OTU71" s="30" t="n"/>
      <c r="OTV71" s="451" t="n"/>
      <c r="OTW71" s="34" t="n"/>
      <c r="OTX71" s="30" t="n"/>
      <c r="OTY71" s="138">
        <f>+OTU71-OTW71-OTY71</f>
        <v/>
      </c>
      <c r="OTZ71" s="533" t="n"/>
      <c r="OUA71" s="515" t="inlineStr">
        <is>
          <t>SEGUROS</t>
        </is>
      </c>
      <c r="OUB71" s="534" t="inlineStr">
        <is>
          <t>RIMAC SEGUROS</t>
        </is>
      </c>
      <c r="OUC71" s="447" t="n"/>
      <c r="OUD71" s="529" t="n">
        <v>1086478942</v>
      </c>
      <c r="OUE71" s="518" t="n"/>
      <c r="OUF71" s="519" t="n"/>
      <c r="OUG71" s="519" t="n">
        <v>45341</v>
      </c>
      <c r="OUJ71" s="137" t="n">
        <v>218.95</v>
      </c>
      <c r="OUK71" s="30" t="n"/>
      <c r="OUL71" s="451" t="n"/>
      <c r="OUM71" s="34" t="n"/>
      <c r="OUN71" s="30" t="n"/>
      <c r="OUO71" s="138">
        <f>+OUK71-OUM71-OUO71</f>
        <v/>
      </c>
      <c r="OUP71" s="533" t="n"/>
      <c r="OUQ71" s="515" t="inlineStr">
        <is>
          <t>SEGUROS</t>
        </is>
      </c>
      <c r="OUR71" s="534" t="inlineStr">
        <is>
          <t>RIMAC SEGUROS</t>
        </is>
      </c>
      <c r="OUS71" s="447" t="n"/>
      <c r="OUT71" s="529" t="n">
        <v>1086478942</v>
      </c>
      <c r="OUU71" s="518" t="n"/>
      <c r="OUV71" s="519" t="n"/>
      <c r="OUW71" s="519" t="n">
        <v>45341</v>
      </c>
      <c r="OUZ71" s="137" t="n">
        <v>218.95</v>
      </c>
      <c r="OVA71" s="30" t="n"/>
      <c r="OVB71" s="451" t="n"/>
      <c r="OVC71" s="34" t="n"/>
      <c r="OVD71" s="30" t="n"/>
      <c r="OVE71" s="138">
        <f>+OVA71-OVC71-OVE71</f>
        <v/>
      </c>
      <c r="OVF71" s="533" t="n"/>
      <c r="OVG71" s="515" t="inlineStr">
        <is>
          <t>SEGUROS</t>
        </is>
      </c>
      <c r="OVH71" s="534" t="inlineStr">
        <is>
          <t>RIMAC SEGUROS</t>
        </is>
      </c>
      <c r="OVI71" s="447" t="n"/>
      <c r="OVJ71" s="529" t="n">
        <v>1086478942</v>
      </c>
      <c r="OVK71" s="518" t="n"/>
      <c r="OVL71" s="519" t="n"/>
      <c r="OVM71" s="519" t="n">
        <v>45341</v>
      </c>
      <c r="OVP71" s="137" t="n">
        <v>218.95</v>
      </c>
      <c r="OVQ71" s="30" t="n"/>
      <c r="OVR71" s="451" t="n"/>
      <c r="OVS71" s="34" t="n"/>
      <c r="OVT71" s="30" t="n"/>
      <c r="OVU71" s="138">
        <f>+OVQ71-OVS71-OVU71</f>
        <v/>
      </c>
      <c r="OVV71" s="533" t="n"/>
      <c r="OVW71" s="515" t="inlineStr">
        <is>
          <t>SEGUROS</t>
        </is>
      </c>
      <c r="OVX71" s="534" t="inlineStr">
        <is>
          <t>RIMAC SEGUROS</t>
        </is>
      </c>
      <c r="OVY71" s="447" t="n"/>
      <c r="OVZ71" s="529" t="n">
        <v>1086478942</v>
      </c>
      <c r="OWA71" s="518" t="n"/>
      <c r="OWB71" s="519" t="n"/>
      <c r="OWC71" s="519" t="n">
        <v>45341</v>
      </c>
      <c r="OWF71" s="137" t="n">
        <v>218.95</v>
      </c>
      <c r="OWG71" s="30" t="n"/>
      <c r="OWH71" s="451" t="n"/>
      <c r="OWI71" s="34" t="n"/>
      <c r="OWJ71" s="30" t="n"/>
      <c r="OWK71" s="138">
        <f>+OWG71-OWI71-OWK71</f>
        <v/>
      </c>
      <c r="OWL71" s="533" t="n"/>
      <c r="OWM71" s="515" t="inlineStr">
        <is>
          <t>SEGUROS</t>
        </is>
      </c>
      <c r="OWN71" s="534" t="inlineStr">
        <is>
          <t>RIMAC SEGUROS</t>
        </is>
      </c>
      <c r="OWO71" s="447" t="n"/>
      <c r="OWP71" s="529" t="n">
        <v>1086478942</v>
      </c>
      <c r="OWQ71" s="518" t="n"/>
      <c r="OWR71" s="519" t="n"/>
      <c r="OWS71" s="519" t="n">
        <v>45341</v>
      </c>
      <c r="OWV71" s="137" t="n">
        <v>218.95</v>
      </c>
      <c r="OWW71" s="30" t="n"/>
      <c r="OWX71" s="451" t="n"/>
      <c r="OWY71" s="34" t="n"/>
      <c r="OWZ71" s="30" t="n"/>
      <c r="OXA71" s="138">
        <f>+OWW71-OWY71-OXA71</f>
        <v/>
      </c>
      <c r="OXB71" s="533" t="n"/>
      <c r="OXC71" s="515" t="inlineStr">
        <is>
          <t>SEGUROS</t>
        </is>
      </c>
      <c r="OXD71" s="534" t="inlineStr">
        <is>
          <t>RIMAC SEGUROS</t>
        </is>
      </c>
      <c r="OXE71" s="447" t="n"/>
      <c r="OXF71" s="529" t="n">
        <v>1086478942</v>
      </c>
      <c r="OXG71" s="518" t="n"/>
      <c r="OXH71" s="519" t="n"/>
      <c r="OXI71" s="519" t="n">
        <v>45341</v>
      </c>
      <c r="OXL71" s="137" t="n">
        <v>218.95</v>
      </c>
      <c r="OXM71" s="30" t="n"/>
      <c r="OXN71" s="451" t="n"/>
      <c r="OXO71" s="34" t="n"/>
      <c r="OXP71" s="30" t="n"/>
      <c r="OXQ71" s="138">
        <f>+OXM71-OXO71-OXQ71</f>
        <v/>
      </c>
      <c r="OXR71" s="533" t="n"/>
      <c r="OXS71" s="515" t="inlineStr">
        <is>
          <t>SEGUROS</t>
        </is>
      </c>
      <c r="OXT71" s="534" t="inlineStr">
        <is>
          <t>RIMAC SEGUROS</t>
        </is>
      </c>
      <c r="OXU71" s="447" t="n"/>
      <c r="OXV71" s="529" t="n">
        <v>1086478942</v>
      </c>
      <c r="OXW71" s="518" t="n"/>
      <c r="OXX71" s="519" t="n"/>
      <c r="OXY71" s="519" t="n">
        <v>45341</v>
      </c>
      <c r="OYB71" s="137" t="n">
        <v>218.95</v>
      </c>
      <c r="OYC71" s="30" t="n"/>
      <c r="OYD71" s="451" t="n"/>
      <c r="OYE71" s="34" t="n"/>
      <c r="OYF71" s="30" t="n"/>
      <c r="OYG71" s="138">
        <f>+OYC71-OYE71-OYG71</f>
        <v/>
      </c>
      <c r="OYH71" s="533" t="n"/>
      <c r="OYI71" s="515" t="inlineStr">
        <is>
          <t>SEGUROS</t>
        </is>
      </c>
      <c r="OYJ71" s="534" t="inlineStr">
        <is>
          <t>RIMAC SEGUROS</t>
        </is>
      </c>
      <c r="OYK71" s="447" t="n"/>
      <c r="OYL71" s="529" t="n">
        <v>1086478942</v>
      </c>
      <c r="OYM71" s="518" t="n"/>
      <c r="OYN71" s="519" t="n"/>
      <c r="OYO71" s="519" t="n">
        <v>45341</v>
      </c>
      <c r="OYR71" s="137" t="n">
        <v>218.95</v>
      </c>
      <c r="OYS71" s="30" t="n"/>
      <c r="OYT71" s="451" t="n"/>
      <c r="OYU71" s="34" t="n"/>
      <c r="OYV71" s="30" t="n"/>
      <c r="OYW71" s="138">
        <f>+OYS71-OYU71-OYW71</f>
        <v/>
      </c>
      <c r="OYX71" s="533" t="n"/>
      <c r="OYY71" s="515" t="inlineStr">
        <is>
          <t>SEGUROS</t>
        </is>
      </c>
      <c r="OYZ71" s="534" t="inlineStr">
        <is>
          <t>RIMAC SEGUROS</t>
        </is>
      </c>
      <c r="OZA71" s="447" t="n"/>
      <c r="OZB71" s="529" t="n">
        <v>1086478942</v>
      </c>
      <c r="OZC71" s="518" t="n"/>
      <c r="OZD71" s="519" t="n"/>
      <c r="OZE71" s="519" t="n">
        <v>45341</v>
      </c>
      <c r="OZH71" s="137" t="n">
        <v>218.95</v>
      </c>
      <c r="OZI71" s="30" t="n"/>
      <c r="OZJ71" s="451" t="n"/>
      <c r="OZK71" s="34" t="n"/>
      <c r="OZL71" s="30" t="n"/>
      <c r="OZM71" s="138">
        <f>+OZI71-OZK71-OZM71</f>
        <v/>
      </c>
      <c r="OZN71" s="533" t="n"/>
      <c r="OZO71" s="515" t="inlineStr">
        <is>
          <t>SEGUROS</t>
        </is>
      </c>
      <c r="OZP71" s="534" t="inlineStr">
        <is>
          <t>RIMAC SEGUROS</t>
        </is>
      </c>
      <c r="OZQ71" s="447" t="n"/>
      <c r="OZR71" s="529" t="n">
        <v>1086478942</v>
      </c>
      <c r="OZS71" s="518" t="n"/>
      <c r="OZT71" s="519" t="n"/>
      <c r="OZU71" s="519" t="n">
        <v>45341</v>
      </c>
      <c r="OZX71" s="137" t="n">
        <v>218.95</v>
      </c>
      <c r="OZY71" s="30" t="n"/>
      <c r="OZZ71" s="451" t="n"/>
      <c r="PAA71" s="34" t="n"/>
      <c r="PAB71" s="30" t="n"/>
      <c r="PAC71" s="138">
        <f>+OZY71-PAA71-PAC71</f>
        <v/>
      </c>
      <c r="PAD71" s="533" t="n"/>
      <c r="PAE71" s="515" t="inlineStr">
        <is>
          <t>SEGUROS</t>
        </is>
      </c>
      <c r="PAF71" s="534" t="inlineStr">
        <is>
          <t>RIMAC SEGUROS</t>
        </is>
      </c>
      <c r="PAG71" s="447" t="n"/>
      <c r="PAH71" s="529" t="n">
        <v>1086478942</v>
      </c>
      <c r="PAI71" s="518" t="n"/>
      <c r="PAJ71" s="519" t="n"/>
      <c r="PAK71" s="519" t="n">
        <v>45341</v>
      </c>
      <c r="PAN71" s="137" t="n">
        <v>218.95</v>
      </c>
      <c r="PAO71" s="30" t="n"/>
      <c r="PAP71" s="451" t="n"/>
      <c r="PAQ71" s="34" t="n"/>
      <c r="PAR71" s="30" t="n"/>
      <c r="PAS71" s="138">
        <f>+PAO71-PAQ71-PAS71</f>
        <v/>
      </c>
      <c r="PAT71" s="533" t="n"/>
      <c r="PAU71" s="515" t="inlineStr">
        <is>
          <t>SEGUROS</t>
        </is>
      </c>
      <c r="PAV71" s="534" t="inlineStr">
        <is>
          <t>RIMAC SEGUROS</t>
        </is>
      </c>
      <c r="PAW71" s="447" t="n"/>
      <c r="PAX71" s="529" t="n">
        <v>1086478942</v>
      </c>
      <c r="PAY71" s="518" t="n"/>
      <c r="PAZ71" s="519" t="n"/>
      <c r="PBA71" s="519" t="n">
        <v>45341</v>
      </c>
      <c r="PBD71" s="137" t="n">
        <v>218.95</v>
      </c>
      <c r="PBE71" s="30" t="n"/>
      <c r="PBF71" s="451" t="n"/>
      <c r="PBG71" s="34" t="n"/>
      <c r="PBH71" s="30" t="n"/>
      <c r="PBI71" s="138">
        <f>+PBE71-PBG71-PBI71</f>
        <v/>
      </c>
      <c r="PBJ71" s="533" t="n"/>
      <c r="PBK71" s="515" t="inlineStr">
        <is>
          <t>SEGUROS</t>
        </is>
      </c>
      <c r="PBL71" s="534" t="inlineStr">
        <is>
          <t>RIMAC SEGUROS</t>
        </is>
      </c>
      <c r="PBM71" s="447" t="n"/>
      <c r="PBN71" s="529" t="n">
        <v>1086478942</v>
      </c>
      <c r="PBO71" s="518" t="n"/>
      <c r="PBP71" s="519" t="n"/>
      <c r="PBQ71" s="519" t="n">
        <v>45341</v>
      </c>
      <c r="PBT71" s="137" t="n">
        <v>218.95</v>
      </c>
      <c r="PBU71" s="30" t="n"/>
      <c r="PBV71" s="451" t="n"/>
      <c r="PBW71" s="34" t="n"/>
      <c r="PBX71" s="30" t="n"/>
      <c r="PBY71" s="138">
        <f>+PBU71-PBW71-PBY71</f>
        <v/>
      </c>
      <c r="PBZ71" s="533" t="n"/>
      <c r="PCA71" s="515" t="inlineStr">
        <is>
          <t>SEGUROS</t>
        </is>
      </c>
      <c r="PCB71" s="534" t="inlineStr">
        <is>
          <t>RIMAC SEGUROS</t>
        </is>
      </c>
      <c r="PCC71" s="447" t="n"/>
      <c r="PCD71" s="529" t="n">
        <v>1086478942</v>
      </c>
      <c r="PCE71" s="518" t="n"/>
      <c r="PCF71" s="519" t="n"/>
      <c r="PCG71" s="519" t="n">
        <v>45341</v>
      </c>
      <c r="PCJ71" s="137" t="n">
        <v>218.95</v>
      </c>
      <c r="PCK71" s="30" t="n"/>
      <c r="PCL71" s="451" t="n"/>
      <c r="PCM71" s="34" t="n"/>
      <c r="PCN71" s="30" t="n"/>
      <c r="PCO71" s="138">
        <f>+PCK71-PCM71-PCO71</f>
        <v/>
      </c>
      <c r="PCP71" s="533" t="n"/>
      <c r="PCQ71" s="515" t="inlineStr">
        <is>
          <t>SEGUROS</t>
        </is>
      </c>
      <c r="PCR71" s="534" t="inlineStr">
        <is>
          <t>RIMAC SEGUROS</t>
        </is>
      </c>
      <c r="PCS71" s="447" t="n"/>
      <c r="PCT71" s="529" t="n">
        <v>1086478942</v>
      </c>
      <c r="PCU71" s="518" t="n"/>
      <c r="PCV71" s="519" t="n"/>
      <c r="PCW71" s="519" t="n">
        <v>45341</v>
      </c>
      <c r="PCZ71" s="137" t="n">
        <v>218.95</v>
      </c>
      <c r="PDA71" s="30" t="n"/>
      <c r="PDB71" s="451" t="n"/>
      <c r="PDC71" s="34" t="n"/>
      <c r="PDD71" s="30" t="n"/>
      <c r="PDE71" s="138">
        <f>+PDA71-PDC71-PDE71</f>
        <v/>
      </c>
      <c r="PDF71" s="533" t="n"/>
      <c r="PDG71" s="515" t="inlineStr">
        <is>
          <t>SEGUROS</t>
        </is>
      </c>
      <c r="PDH71" s="534" t="inlineStr">
        <is>
          <t>RIMAC SEGUROS</t>
        </is>
      </c>
      <c r="PDI71" s="447" t="n"/>
      <c r="PDJ71" s="529" t="n">
        <v>1086478942</v>
      </c>
      <c r="PDK71" s="518" t="n"/>
      <c r="PDL71" s="519" t="n"/>
      <c r="PDM71" s="519" t="n">
        <v>45341</v>
      </c>
      <c r="PDP71" s="137" t="n">
        <v>218.95</v>
      </c>
      <c r="PDQ71" s="30" t="n"/>
      <c r="PDR71" s="451" t="n"/>
      <c r="PDS71" s="34" t="n"/>
      <c r="PDT71" s="30" t="n"/>
      <c r="PDU71" s="138">
        <f>+PDQ71-PDS71-PDU71</f>
        <v/>
      </c>
      <c r="PDV71" s="533" t="n"/>
      <c r="PDW71" s="515" t="inlineStr">
        <is>
          <t>SEGUROS</t>
        </is>
      </c>
      <c r="PDX71" s="534" t="inlineStr">
        <is>
          <t>RIMAC SEGUROS</t>
        </is>
      </c>
      <c r="PDY71" s="447" t="n"/>
      <c r="PDZ71" s="529" t="n">
        <v>1086478942</v>
      </c>
      <c r="PEA71" s="518" t="n"/>
      <c r="PEB71" s="519" t="n"/>
      <c r="PEC71" s="519" t="n">
        <v>45341</v>
      </c>
      <c r="PEF71" s="137" t="n">
        <v>218.95</v>
      </c>
      <c r="PEG71" s="30" t="n"/>
      <c r="PEH71" s="451" t="n"/>
      <c r="PEI71" s="34" t="n"/>
      <c r="PEJ71" s="30" t="n"/>
      <c r="PEK71" s="138">
        <f>+PEG71-PEI71-PEK71</f>
        <v/>
      </c>
      <c r="PEL71" s="533" t="n"/>
      <c r="PEM71" s="515" t="inlineStr">
        <is>
          <t>SEGUROS</t>
        </is>
      </c>
      <c r="PEN71" s="534" t="inlineStr">
        <is>
          <t>RIMAC SEGUROS</t>
        </is>
      </c>
      <c r="PEO71" s="447" t="n"/>
      <c r="PEP71" s="529" t="n">
        <v>1086478942</v>
      </c>
      <c r="PEQ71" s="518" t="n"/>
      <c r="PER71" s="519" t="n"/>
      <c r="PES71" s="519" t="n">
        <v>45341</v>
      </c>
      <c r="PEV71" s="137" t="n">
        <v>218.95</v>
      </c>
      <c r="PEW71" s="30" t="n"/>
      <c r="PEX71" s="451" t="n"/>
      <c r="PEY71" s="34" t="n"/>
      <c r="PEZ71" s="30" t="n"/>
      <c r="PFA71" s="138">
        <f>+PEW71-PEY71-PFA71</f>
        <v/>
      </c>
      <c r="PFB71" s="533" t="n"/>
      <c r="PFC71" s="515" t="inlineStr">
        <is>
          <t>SEGUROS</t>
        </is>
      </c>
      <c r="PFD71" s="534" t="inlineStr">
        <is>
          <t>RIMAC SEGUROS</t>
        </is>
      </c>
      <c r="PFE71" s="447" t="n"/>
      <c r="PFF71" s="529" t="n">
        <v>1086478942</v>
      </c>
      <c r="PFG71" s="518" t="n"/>
      <c r="PFH71" s="519" t="n"/>
      <c r="PFI71" s="519" t="n">
        <v>45341</v>
      </c>
      <c r="PFL71" s="137" t="n">
        <v>218.95</v>
      </c>
      <c r="PFM71" s="30" t="n"/>
      <c r="PFN71" s="451" t="n"/>
      <c r="PFO71" s="34" t="n"/>
      <c r="PFP71" s="30" t="n"/>
      <c r="PFQ71" s="138">
        <f>+PFM71-PFO71-PFQ71</f>
        <v/>
      </c>
      <c r="PFR71" s="533" t="n"/>
      <c r="PFS71" s="515" t="inlineStr">
        <is>
          <t>SEGUROS</t>
        </is>
      </c>
      <c r="PFT71" s="534" t="inlineStr">
        <is>
          <t>RIMAC SEGUROS</t>
        </is>
      </c>
      <c r="PFU71" s="447" t="n"/>
      <c r="PFV71" s="529" t="n">
        <v>1086478942</v>
      </c>
      <c r="PFW71" s="518" t="n"/>
      <c r="PFX71" s="519" t="n"/>
      <c r="PFY71" s="519" t="n">
        <v>45341</v>
      </c>
      <c r="PGB71" s="137" t="n">
        <v>218.95</v>
      </c>
      <c r="PGC71" s="30" t="n"/>
      <c r="PGD71" s="451" t="n"/>
      <c r="PGE71" s="34" t="n"/>
      <c r="PGF71" s="30" t="n"/>
      <c r="PGG71" s="138">
        <f>+PGC71-PGE71-PGG71</f>
        <v/>
      </c>
      <c r="PGH71" s="533" t="n"/>
      <c r="PGI71" s="515" t="inlineStr">
        <is>
          <t>SEGUROS</t>
        </is>
      </c>
      <c r="PGJ71" s="534" t="inlineStr">
        <is>
          <t>RIMAC SEGUROS</t>
        </is>
      </c>
      <c r="PGK71" s="447" t="n"/>
      <c r="PGL71" s="529" t="n">
        <v>1086478942</v>
      </c>
      <c r="PGM71" s="518" t="n"/>
      <c r="PGN71" s="519" t="n"/>
      <c r="PGO71" s="519" t="n">
        <v>45341</v>
      </c>
      <c r="PGR71" s="137" t="n">
        <v>218.95</v>
      </c>
      <c r="PGS71" s="30" t="n"/>
      <c r="PGT71" s="451" t="n"/>
      <c r="PGU71" s="34" t="n"/>
      <c r="PGV71" s="30" t="n"/>
      <c r="PGW71" s="138">
        <f>+PGS71-PGU71-PGW71</f>
        <v/>
      </c>
      <c r="PGX71" s="533" t="n"/>
      <c r="PGY71" s="515" t="inlineStr">
        <is>
          <t>SEGUROS</t>
        </is>
      </c>
      <c r="PGZ71" s="534" t="inlineStr">
        <is>
          <t>RIMAC SEGUROS</t>
        </is>
      </c>
      <c r="PHA71" s="447" t="n"/>
      <c r="PHB71" s="529" t="n">
        <v>1086478942</v>
      </c>
      <c r="PHC71" s="518" t="n"/>
      <c r="PHD71" s="519" t="n"/>
      <c r="PHE71" s="519" t="n">
        <v>45341</v>
      </c>
      <c r="PHH71" s="137" t="n">
        <v>218.95</v>
      </c>
      <c r="PHI71" s="30" t="n"/>
      <c r="PHJ71" s="451" t="n"/>
      <c r="PHK71" s="34" t="n"/>
      <c r="PHL71" s="30" t="n"/>
      <c r="PHM71" s="138">
        <f>+PHI71-PHK71-PHM71</f>
        <v/>
      </c>
      <c r="PHN71" s="533" t="n"/>
      <c r="PHO71" s="515" t="inlineStr">
        <is>
          <t>SEGUROS</t>
        </is>
      </c>
      <c r="PHP71" s="534" t="inlineStr">
        <is>
          <t>RIMAC SEGUROS</t>
        </is>
      </c>
      <c r="PHQ71" s="447" t="n"/>
      <c r="PHR71" s="529" t="n">
        <v>1086478942</v>
      </c>
      <c r="PHS71" s="518" t="n"/>
      <c r="PHT71" s="519" t="n"/>
      <c r="PHU71" s="519" t="n">
        <v>45341</v>
      </c>
      <c r="PHX71" s="137" t="n">
        <v>218.95</v>
      </c>
      <c r="PHY71" s="30" t="n"/>
      <c r="PHZ71" s="451" t="n"/>
      <c r="PIA71" s="34" t="n"/>
      <c r="PIB71" s="30" t="n"/>
      <c r="PIC71" s="138">
        <f>+PHY71-PIA71-PIC71</f>
        <v/>
      </c>
      <c r="PID71" s="533" t="n"/>
      <c r="PIE71" s="515" t="inlineStr">
        <is>
          <t>SEGUROS</t>
        </is>
      </c>
      <c r="PIF71" s="534" t="inlineStr">
        <is>
          <t>RIMAC SEGUROS</t>
        </is>
      </c>
      <c r="PIG71" s="447" t="n"/>
      <c r="PIH71" s="529" t="n">
        <v>1086478942</v>
      </c>
      <c r="PII71" s="518" t="n"/>
      <c r="PIJ71" s="519" t="n"/>
      <c r="PIK71" s="519" t="n">
        <v>45341</v>
      </c>
      <c r="PIN71" s="137" t="n">
        <v>218.95</v>
      </c>
      <c r="PIO71" s="30" t="n"/>
      <c r="PIP71" s="451" t="n"/>
      <c r="PIQ71" s="34" t="n"/>
      <c r="PIR71" s="30" t="n"/>
      <c r="PIS71" s="138">
        <f>+PIO71-PIQ71-PIS71</f>
        <v/>
      </c>
      <c r="PIT71" s="533" t="n"/>
      <c r="PIU71" s="515" t="inlineStr">
        <is>
          <t>SEGUROS</t>
        </is>
      </c>
      <c r="PIV71" s="534" t="inlineStr">
        <is>
          <t>RIMAC SEGUROS</t>
        </is>
      </c>
      <c r="PIW71" s="447" t="n"/>
      <c r="PIX71" s="529" t="n">
        <v>1086478942</v>
      </c>
      <c r="PIY71" s="518" t="n"/>
      <c r="PIZ71" s="519" t="n"/>
      <c r="PJA71" s="519" t="n">
        <v>45341</v>
      </c>
      <c r="PJD71" s="137" t="n">
        <v>218.95</v>
      </c>
      <c r="PJE71" s="30" t="n"/>
      <c r="PJF71" s="451" t="n"/>
      <c r="PJG71" s="34" t="n"/>
      <c r="PJH71" s="30" t="n"/>
      <c r="PJI71" s="138">
        <f>+PJE71-PJG71-PJI71</f>
        <v/>
      </c>
      <c r="PJJ71" s="533" t="n"/>
      <c r="PJK71" s="515" t="inlineStr">
        <is>
          <t>SEGUROS</t>
        </is>
      </c>
      <c r="PJL71" s="534" t="inlineStr">
        <is>
          <t>RIMAC SEGUROS</t>
        </is>
      </c>
      <c r="PJM71" s="447" t="n"/>
      <c r="PJN71" s="529" t="n">
        <v>1086478942</v>
      </c>
      <c r="PJO71" s="518" t="n"/>
      <c r="PJP71" s="519" t="n"/>
      <c r="PJQ71" s="519" t="n">
        <v>45341</v>
      </c>
      <c r="PJT71" s="137" t="n">
        <v>218.95</v>
      </c>
      <c r="PJU71" s="30" t="n"/>
      <c r="PJV71" s="451" t="n"/>
      <c r="PJW71" s="34" t="n"/>
      <c r="PJX71" s="30" t="n"/>
      <c r="PJY71" s="138">
        <f>+PJU71-PJW71-PJY71</f>
        <v/>
      </c>
      <c r="PJZ71" s="533" t="n"/>
      <c r="PKA71" s="515" t="inlineStr">
        <is>
          <t>SEGUROS</t>
        </is>
      </c>
      <c r="PKB71" s="534" t="inlineStr">
        <is>
          <t>RIMAC SEGUROS</t>
        </is>
      </c>
      <c r="PKC71" s="447" t="n"/>
      <c r="PKD71" s="529" t="n">
        <v>1086478942</v>
      </c>
      <c r="PKE71" s="518" t="n"/>
      <c r="PKF71" s="519" t="n"/>
      <c r="PKG71" s="519" t="n">
        <v>45341</v>
      </c>
      <c r="PKJ71" s="137" t="n">
        <v>218.95</v>
      </c>
      <c r="PKK71" s="30" t="n"/>
      <c r="PKL71" s="451" t="n"/>
      <c r="PKM71" s="34" t="n"/>
      <c r="PKN71" s="30" t="n"/>
      <c r="PKO71" s="138">
        <f>+PKK71-PKM71-PKO71</f>
        <v/>
      </c>
      <c r="PKP71" s="533" t="n"/>
      <c r="PKQ71" s="515" t="inlineStr">
        <is>
          <t>SEGUROS</t>
        </is>
      </c>
      <c r="PKR71" s="534" t="inlineStr">
        <is>
          <t>RIMAC SEGUROS</t>
        </is>
      </c>
      <c r="PKS71" s="447" t="n"/>
      <c r="PKT71" s="529" t="n">
        <v>1086478942</v>
      </c>
      <c r="PKU71" s="518" t="n"/>
      <c r="PKV71" s="519" t="n"/>
      <c r="PKW71" s="519" t="n">
        <v>45341</v>
      </c>
      <c r="PKZ71" s="137" t="n">
        <v>218.95</v>
      </c>
      <c r="PLA71" s="30" t="n"/>
      <c r="PLB71" s="451" t="n"/>
      <c r="PLC71" s="34" t="n"/>
      <c r="PLD71" s="30" t="n"/>
      <c r="PLE71" s="138">
        <f>+PLA71-PLC71-PLE71</f>
        <v/>
      </c>
      <c r="PLF71" s="533" t="n"/>
      <c r="PLG71" s="515" t="inlineStr">
        <is>
          <t>SEGUROS</t>
        </is>
      </c>
      <c r="PLH71" s="534" t="inlineStr">
        <is>
          <t>RIMAC SEGUROS</t>
        </is>
      </c>
      <c r="PLI71" s="447" t="n"/>
      <c r="PLJ71" s="529" t="n">
        <v>1086478942</v>
      </c>
      <c r="PLK71" s="518" t="n"/>
      <c r="PLL71" s="519" t="n"/>
      <c r="PLM71" s="519" t="n">
        <v>45341</v>
      </c>
      <c r="PLP71" s="137" t="n">
        <v>218.95</v>
      </c>
      <c r="PLQ71" s="30" t="n"/>
      <c r="PLR71" s="451" t="n"/>
      <c r="PLS71" s="34" t="n"/>
      <c r="PLT71" s="30" t="n"/>
      <c r="PLU71" s="138">
        <f>+PLQ71-PLS71-PLU71</f>
        <v/>
      </c>
      <c r="PLV71" s="533" t="n"/>
      <c r="PLW71" s="515" t="inlineStr">
        <is>
          <t>SEGUROS</t>
        </is>
      </c>
      <c r="PLX71" s="534" t="inlineStr">
        <is>
          <t>RIMAC SEGUROS</t>
        </is>
      </c>
      <c r="PLY71" s="447" t="n"/>
      <c r="PLZ71" s="529" t="n">
        <v>1086478942</v>
      </c>
      <c r="PMA71" s="518" t="n"/>
      <c r="PMB71" s="519" t="n"/>
      <c r="PMC71" s="519" t="n">
        <v>45341</v>
      </c>
      <c r="PMF71" s="137" t="n">
        <v>218.95</v>
      </c>
      <c r="PMG71" s="30" t="n"/>
      <c r="PMH71" s="451" t="n"/>
      <c r="PMI71" s="34" t="n"/>
      <c r="PMJ71" s="30" t="n"/>
      <c r="PMK71" s="138">
        <f>+PMG71-PMI71-PMK71</f>
        <v/>
      </c>
      <c r="PML71" s="533" t="n"/>
      <c r="PMM71" s="515" t="inlineStr">
        <is>
          <t>SEGUROS</t>
        </is>
      </c>
      <c r="PMN71" s="534" t="inlineStr">
        <is>
          <t>RIMAC SEGUROS</t>
        </is>
      </c>
      <c r="PMO71" s="447" t="n"/>
      <c r="PMP71" s="529" t="n">
        <v>1086478942</v>
      </c>
      <c r="PMQ71" s="518" t="n"/>
      <c r="PMR71" s="519" t="n"/>
      <c r="PMS71" s="519" t="n">
        <v>45341</v>
      </c>
      <c r="PMV71" s="137" t="n">
        <v>218.95</v>
      </c>
      <c r="PMW71" s="30" t="n"/>
      <c r="PMX71" s="451" t="n"/>
      <c r="PMY71" s="34" t="n"/>
      <c r="PMZ71" s="30" t="n"/>
      <c r="PNA71" s="138">
        <f>+PMW71-PMY71-PNA71</f>
        <v/>
      </c>
      <c r="PNB71" s="533" t="n"/>
      <c r="PNC71" s="515" t="inlineStr">
        <is>
          <t>SEGUROS</t>
        </is>
      </c>
      <c r="PND71" s="534" t="inlineStr">
        <is>
          <t>RIMAC SEGUROS</t>
        </is>
      </c>
      <c r="PNE71" s="447" t="n"/>
      <c r="PNF71" s="529" t="n">
        <v>1086478942</v>
      </c>
      <c r="PNG71" s="518" t="n"/>
      <c r="PNH71" s="519" t="n"/>
      <c r="PNI71" s="519" t="n">
        <v>45341</v>
      </c>
      <c r="PNL71" s="137" t="n">
        <v>218.95</v>
      </c>
      <c r="PNM71" s="30" t="n"/>
      <c r="PNN71" s="451" t="n"/>
      <c r="PNO71" s="34" t="n"/>
      <c r="PNP71" s="30" t="n"/>
      <c r="PNQ71" s="138">
        <f>+PNM71-PNO71-PNQ71</f>
        <v/>
      </c>
      <c r="PNR71" s="533" t="n"/>
      <c r="PNS71" s="515" t="inlineStr">
        <is>
          <t>SEGUROS</t>
        </is>
      </c>
      <c r="PNT71" s="534" t="inlineStr">
        <is>
          <t>RIMAC SEGUROS</t>
        </is>
      </c>
      <c r="PNU71" s="447" t="n"/>
      <c r="PNV71" s="529" t="n">
        <v>1086478942</v>
      </c>
      <c r="PNW71" s="518" t="n"/>
      <c r="PNX71" s="519" t="n"/>
      <c r="PNY71" s="519" t="n">
        <v>45341</v>
      </c>
      <c r="POB71" s="137" t="n">
        <v>218.95</v>
      </c>
      <c r="POC71" s="30" t="n"/>
      <c r="POD71" s="451" t="n"/>
      <c r="POE71" s="34" t="n"/>
      <c r="POF71" s="30" t="n"/>
      <c r="POG71" s="138">
        <f>+POC71-POE71-POG71</f>
        <v/>
      </c>
      <c r="POH71" s="533" t="n"/>
      <c r="POI71" s="515" t="inlineStr">
        <is>
          <t>SEGUROS</t>
        </is>
      </c>
      <c r="POJ71" s="534" t="inlineStr">
        <is>
          <t>RIMAC SEGUROS</t>
        </is>
      </c>
      <c r="POK71" s="447" t="n"/>
      <c r="POL71" s="529" t="n">
        <v>1086478942</v>
      </c>
      <c r="POM71" s="518" t="n"/>
      <c r="PON71" s="519" t="n"/>
      <c r="POO71" s="519" t="n">
        <v>45341</v>
      </c>
      <c r="POR71" s="137" t="n">
        <v>218.95</v>
      </c>
      <c r="POS71" s="30" t="n"/>
      <c r="POT71" s="451" t="n"/>
      <c r="POU71" s="34" t="n"/>
      <c r="POV71" s="30" t="n"/>
      <c r="POW71" s="138">
        <f>+POS71-POU71-POW71</f>
        <v/>
      </c>
      <c r="POX71" s="533" t="n"/>
      <c r="POY71" s="515" t="inlineStr">
        <is>
          <t>SEGUROS</t>
        </is>
      </c>
      <c r="POZ71" s="534" t="inlineStr">
        <is>
          <t>RIMAC SEGUROS</t>
        </is>
      </c>
      <c r="PPA71" s="447" t="n"/>
      <c r="PPB71" s="529" t="n">
        <v>1086478942</v>
      </c>
      <c r="PPC71" s="518" t="n"/>
      <c r="PPD71" s="519" t="n"/>
      <c r="PPE71" s="519" t="n">
        <v>45341</v>
      </c>
      <c r="PPH71" s="137" t="n">
        <v>218.95</v>
      </c>
      <c r="PPI71" s="30" t="n"/>
      <c r="PPJ71" s="451" t="n"/>
      <c r="PPK71" s="34" t="n"/>
      <c r="PPL71" s="30" t="n"/>
      <c r="PPM71" s="138">
        <f>+PPI71-PPK71-PPM71</f>
        <v/>
      </c>
      <c r="PPN71" s="533" t="n"/>
      <c r="PPO71" s="515" t="inlineStr">
        <is>
          <t>SEGUROS</t>
        </is>
      </c>
      <c r="PPP71" s="534" t="inlineStr">
        <is>
          <t>RIMAC SEGUROS</t>
        </is>
      </c>
      <c r="PPQ71" s="447" t="n"/>
      <c r="PPR71" s="529" t="n">
        <v>1086478942</v>
      </c>
      <c r="PPS71" s="518" t="n"/>
      <c r="PPT71" s="519" t="n"/>
      <c r="PPU71" s="519" t="n">
        <v>45341</v>
      </c>
      <c r="PPX71" s="137" t="n">
        <v>218.95</v>
      </c>
      <c r="PPY71" s="30" t="n"/>
      <c r="PPZ71" s="451" t="n"/>
      <c r="PQA71" s="34" t="n"/>
      <c r="PQB71" s="30" t="n"/>
      <c r="PQC71" s="138">
        <f>+PPY71-PQA71-PQC71</f>
        <v/>
      </c>
      <c r="PQD71" s="533" t="n"/>
      <c r="PQE71" s="515" t="inlineStr">
        <is>
          <t>SEGUROS</t>
        </is>
      </c>
      <c r="PQF71" s="534" t="inlineStr">
        <is>
          <t>RIMAC SEGUROS</t>
        </is>
      </c>
      <c r="PQG71" s="447" t="n"/>
      <c r="PQH71" s="529" t="n">
        <v>1086478942</v>
      </c>
      <c r="PQI71" s="518" t="n"/>
      <c r="PQJ71" s="519" t="n"/>
      <c r="PQK71" s="519" t="n">
        <v>45341</v>
      </c>
      <c r="PQN71" s="137" t="n">
        <v>218.95</v>
      </c>
      <c r="PQO71" s="30" t="n"/>
      <c r="PQP71" s="451" t="n"/>
      <c r="PQQ71" s="34" t="n"/>
      <c r="PQR71" s="30" t="n"/>
      <c r="PQS71" s="138">
        <f>+PQO71-PQQ71-PQS71</f>
        <v/>
      </c>
      <c r="PQT71" s="533" t="n"/>
      <c r="PQU71" s="515" t="inlineStr">
        <is>
          <t>SEGUROS</t>
        </is>
      </c>
      <c r="PQV71" s="534" t="inlineStr">
        <is>
          <t>RIMAC SEGUROS</t>
        </is>
      </c>
      <c r="PQW71" s="447" t="n"/>
      <c r="PQX71" s="529" t="n">
        <v>1086478942</v>
      </c>
      <c r="PQY71" s="518" t="n"/>
      <c r="PQZ71" s="519" t="n"/>
      <c r="PRA71" s="519" t="n">
        <v>45341</v>
      </c>
      <c r="PRD71" s="137" t="n">
        <v>218.95</v>
      </c>
      <c r="PRE71" s="30" t="n"/>
      <c r="PRF71" s="451" t="n"/>
      <c r="PRG71" s="34" t="n"/>
      <c r="PRH71" s="30" t="n"/>
      <c r="PRI71" s="138">
        <f>+PRE71-PRG71-PRI71</f>
        <v/>
      </c>
      <c r="PRJ71" s="533" t="n"/>
      <c r="PRK71" s="515" t="inlineStr">
        <is>
          <t>SEGUROS</t>
        </is>
      </c>
      <c r="PRL71" s="534" t="inlineStr">
        <is>
          <t>RIMAC SEGUROS</t>
        </is>
      </c>
      <c r="PRM71" s="447" t="n"/>
      <c r="PRN71" s="529" t="n">
        <v>1086478942</v>
      </c>
      <c r="PRO71" s="518" t="n"/>
      <c r="PRP71" s="519" t="n"/>
      <c r="PRQ71" s="519" t="n">
        <v>45341</v>
      </c>
      <c r="PRT71" s="137" t="n">
        <v>218.95</v>
      </c>
      <c r="PRU71" s="30" t="n"/>
      <c r="PRV71" s="451" t="n"/>
      <c r="PRW71" s="34" t="n"/>
      <c r="PRX71" s="30" t="n"/>
      <c r="PRY71" s="138">
        <f>+PRU71-PRW71-PRY71</f>
        <v/>
      </c>
      <c r="PRZ71" s="533" t="n"/>
      <c r="PSA71" s="515" t="inlineStr">
        <is>
          <t>SEGUROS</t>
        </is>
      </c>
      <c r="PSB71" s="534" t="inlineStr">
        <is>
          <t>RIMAC SEGUROS</t>
        </is>
      </c>
      <c r="PSC71" s="447" t="n"/>
      <c r="PSD71" s="529" t="n">
        <v>1086478942</v>
      </c>
      <c r="PSE71" s="518" t="n"/>
      <c r="PSF71" s="519" t="n"/>
      <c r="PSG71" s="519" t="n">
        <v>45341</v>
      </c>
      <c r="PSJ71" s="137" t="n">
        <v>218.95</v>
      </c>
      <c r="PSK71" s="30" t="n"/>
      <c r="PSL71" s="451" t="n"/>
      <c r="PSM71" s="34" t="n"/>
      <c r="PSN71" s="30" t="n"/>
      <c r="PSO71" s="138">
        <f>+PSK71-PSM71-PSO71</f>
        <v/>
      </c>
      <c r="PSP71" s="533" t="n"/>
      <c r="PSQ71" s="515" t="inlineStr">
        <is>
          <t>SEGUROS</t>
        </is>
      </c>
      <c r="PSR71" s="534" t="inlineStr">
        <is>
          <t>RIMAC SEGUROS</t>
        </is>
      </c>
      <c r="PSS71" s="447" t="n"/>
      <c r="PST71" s="529" t="n">
        <v>1086478942</v>
      </c>
      <c r="PSU71" s="518" t="n"/>
      <c r="PSV71" s="519" t="n"/>
      <c r="PSW71" s="519" t="n">
        <v>45341</v>
      </c>
      <c r="PSZ71" s="137" t="n">
        <v>218.95</v>
      </c>
      <c r="PTA71" s="30" t="n"/>
      <c r="PTB71" s="451" t="n"/>
      <c r="PTC71" s="34" t="n"/>
      <c r="PTD71" s="30" t="n"/>
      <c r="PTE71" s="138">
        <f>+PTA71-PTC71-PTE71</f>
        <v/>
      </c>
      <c r="PTF71" s="533" t="n"/>
      <c r="PTG71" s="515" t="inlineStr">
        <is>
          <t>SEGUROS</t>
        </is>
      </c>
      <c r="PTH71" s="534" t="inlineStr">
        <is>
          <t>RIMAC SEGUROS</t>
        </is>
      </c>
      <c r="PTI71" s="447" t="n"/>
      <c r="PTJ71" s="529" t="n">
        <v>1086478942</v>
      </c>
      <c r="PTK71" s="518" t="n"/>
      <c r="PTL71" s="519" t="n"/>
      <c r="PTM71" s="519" t="n">
        <v>45341</v>
      </c>
      <c r="PTP71" s="137" t="n">
        <v>218.95</v>
      </c>
      <c r="PTQ71" s="30" t="n"/>
      <c r="PTR71" s="451" t="n"/>
      <c r="PTS71" s="34" t="n"/>
      <c r="PTT71" s="30" t="n"/>
      <c r="PTU71" s="138">
        <f>+PTQ71-PTS71-PTU71</f>
        <v/>
      </c>
      <c r="PTV71" s="533" t="n"/>
      <c r="PTW71" s="515" t="inlineStr">
        <is>
          <t>SEGUROS</t>
        </is>
      </c>
      <c r="PTX71" s="534" t="inlineStr">
        <is>
          <t>RIMAC SEGUROS</t>
        </is>
      </c>
      <c r="PTY71" s="447" t="n"/>
      <c r="PTZ71" s="529" t="n">
        <v>1086478942</v>
      </c>
      <c r="PUA71" s="518" t="n"/>
      <c r="PUB71" s="519" t="n"/>
      <c r="PUC71" s="519" t="n">
        <v>45341</v>
      </c>
      <c r="PUF71" s="137" t="n">
        <v>218.95</v>
      </c>
      <c r="PUG71" s="30" t="n"/>
      <c r="PUH71" s="451" t="n"/>
      <c r="PUI71" s="34" t="n"/>
      <c r="PUJ71" s="30" t="n"/>
      <c r="PUK71" s="138">
        <f>+PUG71-PUI71-PUK71</f>
        <v/>
      </c>
      <c r="PUL71" s="533" t="n"/>
      <c r="PUM71" s="515" t="inlineStr">
        <is>
          <t>SEGUROS</t>
        </is>
      </c>
      <c r="PUN71" s="534" t="inlineStr">
        <is>
          <t>RIMAC SEGUROS</t>
        </is>
      </c>
      <c r="PUO71" s="447" t="n"/>
      <c r="PUP71" s="529" t="n">
        <v>1086478942</v>
      </c>
      <c r="PUQ71" s="518" t="n"/>
      <c r="PUR71" s="519" t="n"/>
      <c r="PUS71" s="519" t="n">
        <v>45341</v>
      </c>
      <c r="PUV71" s="137" t="n">
        <v>218.95</v>
      </c>
      <c r="PUW71" s="30" t="n"/>
      <c r="PUX71" s="451" t="n"/>
      <c r="PUY71" s="34" t="n"/>
      <c r="PUZ71" s="30" t="n"/>
      <c r="PVA71" s="138">
        <f>+PUW71-PUY71-PVA71</f>
        <v/>
      </c>
      <c r="PVB71" s="533" t="n"/>
      <c r="PVC71" s="515" t="inlineStr">
        <is>
          <t>SEGUROS</t>
        </is>
      </c>
      <c r="PVD71" s="534" t="inlineStr">
        <is>
          <t>RIMAC SEGUROS</t>
        </is>
      </c>
      <c r="PVE71" s="447" t="n"/>
      <c r="PVF71" s="529" t="n">
        <v>1086478942</v>
      </c>
      <c r="PVG71" s="518" t="n"/>
      <c r="PVH71" s="519" t="n"/>
      <c r="PVI71" s="519" t="n">
        <v>45341</v>
      </c>
      <c r="PVL71" s="137" t="n">
        <v>218.95</v>
      </c>
      <c r="PVM71" s="30" t="n"/>
      <c r="PVN71" s="451" t="n"/>
      <c r="PVO71" s="34" t="n"/>
      <c r="PVP71" s="30" t="n"/>
      <c r="PVQ71" s="138">
        <f>+PVM71-PVO71-PVQ71</f>
        <v/>
      </c>
      <c r="PVR71" s="533" t="n"/>
      <c r="PVS71" s="515" t="inlineStr">
        <is>
          <t>SEGUROS</t>
        </is>
      </c>
      <c r="PVT71" s="534" t="inlineStr">
        <is>
          <t>RIMAC SEGUROS</t>
        </is>
      </c>
      <c r="PVU71" s="447" t="n"/>
      <c r="PVV71" s="529" t="n">
        <v>1086478942</v>
      </c>
      <c r="PVW71" s="518" t="n"/>
      <c r="PVX71" s="519" t="n"/>
      <c r="PVY71" s="519" t="n">
        <v>45341</v>
      </c>
      <c r="PWB71" s="137" t="n">
        <v>218.95</v>
      </c>
      <c r="PWC71" s="30" t="n"/>
      <c r="PWD71" s="451" t="n"/>
      <c r="PWE71" s="34" t="n"/>
      <c r="PWF71" s="30" t="n"/>
      <c r="PWG71" s="138">
        <f>+PWC71-PWE71-PWG71</f>
        <v/>
      </c>
      <c r="PWH71" s="533" t="n"/>
      <c r="PWI71" s="515" t="inlineStr">
        <is>
          <t>SEGUROS</t>
        </is>
      </c>
      <c r="PWJ71" s="534" t="inlineStr">
        <is>
          <t>RIMAC SEGUROS</t>
        </is>
      </c>
      <c r="PWK71" s="447" t="n"/>
      <c r="PWL71" s="529" t="n">
        <v>1086478942</v>
      </c>
      <c r="PWM71" s="518" t="n"/>
      <c r="PWN71" s="519" t="n"/>
      <c r="PWO71" s="519" t="n">
        <v>45341</v>
      </c>
      <c r="PWR71" s="137" t="n">
        <v>218.95</v>
      </c>
      <c r="PWS71" s="30" t="n"/>
      <c r="PWT71" s="451" t="n"/>
      <c r="PWU71" s="34" t="n"/>
      <c r="PWV71" s="30" t="n"/>
      <c r="PWW71" s="138">
        <f>+PWS71-PWU71-PWW71</f>
        <v/>
      </c>
      <c r="PWX71" s="533" t="n"/>
      <c r="PWY71" s="515" t="inlineStr">
        <is>
          <t>SEGUROS</t>
        </is>
      </c>
      <c r="PWZ71" s="534" t="inlineStr">
        <is>
          <t>RIMAC SEGUROS</t>
        </is>
      </c>
      <c r="PXA71" s="447" t="n"/>
      <c r="PXB71" s="529" t="n">
        <v>1086478942</v>
      </c>
      <c r="PXC71" s="518" t="n"/>
      <c r="PXD71" s="519" t="n"/>
      <c r="PXE71" s="519" t="n">
        <v>45341</v>
      </c>
      <c r="PXH71" s="137" t="n">
        <v>218.95</v>
      </c>
      <c r="PXI71" s="30" t="n"/>
      <c r="PXJ71" s="451" t="n"/>
      <c r="PXK71" s="34" t="n"/>
      <c r="PXL71" s="30" t="n"/>
      <c r="PXM71" s="138">
        <f>+PXI71-PXK71-PXM71</f>
        <v/>
      </c>
      <c r="PXN71" s="533" t="n"/>
      <c r="PXO71" s="515" t="inlineStr">
        <is>
          <t>SEGUROS</t>
        </is>
      </c>
      <c r="PXP71" s="534" t="inlineStr">
        <is>
          <t>RIMAC SEGUROS</t>
        </is>
      </c>
      <c r="PXQ71" s="447" t="n"/>
      <c r="PXR71" s="529" t="n">
        <v>1086478942</v>
      </c>
      <c r="PXS71" s="518" t="n"/>
      <c r="PXT71" s="519" t="n"/>
      <c r="PXU71" s="519" t="n">
        <v>45341</v>
      </c>
      <c r="PXX71" s="137" t="n">
        <v>218.95</v>
      </c>
      <c r="PXY71" s="30" t="n"/>
      <c r="PXZ71" s="451" t="n"/>
      <c r="PYA71" s="34" t="n"/>
      <c r="PYB71" s="30" t="n"/>
      <c r="PYC71" s="138">
        <f>+PXY71-PYA71-PYC71</f>
        <v/>
      </c>
      <c r="PYD71" s="533" t="n"/>
      <c r="PYE71" s="515" t="inlineStr">
        <is>
          <t>SEGUROS</t>
        </is>
      </c>
      <c r="PYF71" s="534" t="inlineStr">
        <is>
          <t>RIMAC SEGUROS</t>
        </is>
      </c>
      <c r="PYG71" s="447" t="n"/>
      <c r="PYH71" s="529" t="n">
        <v>1086478942</v>
      </c>
      <c r="PYI71" s="518" t="n"/>
      <c r="PYJ71" s="519" t="n"/>
      <c r="PYK71" s="519" t="n">
        <v>45341</v>
      </c>
      <c r="PYN71" s="137" t="n">
        <v>218.95</v>
      </c>
      <c r="PYO71" s="30" t="n"/>
      <c r="PYP71" s="451" t="n"/>
      <c r="PYQ71" s="34" t="n"/>
      <c r="PYR71" s="30" t="n"/>
      <c r="PYS71" s="138">
        <f>+PYO71-PYQ71-PYS71</f>
        <v/>
      </c>
      <c r="PYT71" s="533" t="n"/>
      <c r="PYU71" s="515" t="inlineStr">
        <is>
          <t>SEGUROS</t>
        </is>
      </c>
      <c r="PYV71" s="534" t="inlineStr">
        <is>
          <t>RIMAC SEGUROS</t>
        </is>
      </c>
      <c r="PYW71" s="447" t="n"/>
      <c r="PYX71" s="529" t="n">
        <v>1086478942</v>
      </c>
      <c r="PYY71" s="518" t="n"/>
      <c r="PYZ71" s="519" t="n"/>
      <c r="PZA71" s="519" t="n">
        <v>45341</v>
      </c>
      <c r="PZD71" s="137" t="n">
        <v>218.95</v>
      </c>
      <c r="PZE71" s="30" t="n"/>
      <c r="PZF71" s="451" t="n"/>
      <c r="PZG71" s="34" t="n"/>
      <c r="PZH71" s="30" t="n"/>
      <c r="PZI71" s="138">
        <f>+PZE71-PZG71-PZI71</f>
        <v/>
      </c>
      <c r="PZJ71" s="533" t="n"/>
      <c r="PZK71" s="515" t="inlineStr">
        <is>
          <t>SEGUROS</t>
        </is>
      </c>
      <c r="PZL71" s="534" t="inlineStr">
        <is>
          <t>RIMAC SEGUROS</t>
        </is>
      </c>
      <c r="PZM71" s="447" t="n"/>
      <c r="PZN71" s="529" t="n">
        <v>1086478942</v>
      </c>
      <c r="PZO71" s="518" t="n"/>
      <c r="PZP71" s="519" t="n"/>
      <c r="PZQ71" s="519" t="n">
        <v>45341</v>
      </c>
      <c r="PZT71" s="137" t="n">
        <v>218.95</v>
      </c>
      <c r="PZU71" s="30" t="n"/>
      <c r="PZV71" s="451" t="n"/>
      <c r="PZW71" s="34" t="n"/>
      <c r="PZX71" s="30" t="n"/>
      <c r="PZY71" s="138">
        <f>+PZU71-PZW71-PZY71</f>
        <v/>
      </c>
      <c r="PZZ71" s="533" t="n"/>
      <c r="QAA71" s="515" t="inlineStr">
        <is>
          <t>SEGUROS</t>
        </is>
      </c>
      <c r="QAB71" s="534" t="inlineStr">
        <is>
          <t>RIMAC SEGUROS</t>
        </is>
      </c>
      <c r="QAC71" s="447" t="n"/>
      <c r="QAD71" s="529" t="n">
        <v>1086478942</v>
      </c>
      <c r="QAE71" s="518" t="n"/>
      <c r="QAF71" s="519" t="n"/>
      <c r="QAG71" s="519" t="n">
        <v>45341</v>
      </c>
      <c r="QAJ71" s="137" t="n">
        <v>218.95</v>
      </c>
      <c r="QAK71" s="30" t="n"/>
      <c r="QAL71" s="451" t="n"/>
      <c r="QAM71" s="34" t="n"/>
      <c r="QAN71" s="30" t="n"/>
      <c r="QAO71" s="138">
        <f>+QAK71-QAM71-QAO71</f>
        <v/>
      </c>
      <c r="QAP71" s="533" t="n"/>
      <c r="QAQ71" s="515" t="inlineStr">
        <is>
          <t>SEGUROS</t>
        </is>
      </c>
      <c r="QAR71" s="534" t="inlineStr">
        <is>
          <t>RIMAC SEGUROS</t>
        </is>
      </c>
      <c r="QAS71" s="447" t="n"/>
      <c r="QAT71" s="529" t="n">
        <v>1086478942</v>
      </c>
      <c r="QAU71" s="518" t="n"/>
      <c r="QAV71" s="519" t="n"/>
      <c r="QAW71" s="519" t="n">
        <v>45341</v>
      </c>
      <c r="QAZ71" s="137" t="n">
        <v>218.95</v>
      </c>
      <c r="QBA71" s="30" t="n"/>
      <c r="QBB71" s="451" t="n"/>
      <c r="QBC71" s="34" t="n"/>
      <c r="QBD71" s="30" t="n"/>
      <c r="QBE71" s="138">
        <f>+QBA71-QBC71-QBE71</f>
        <v/>
      </c>
      <c r="QBF71" s="533" t="n"/>
      <c r="QBG71" s="515" t="inlineStr">
        <is>
          <t>SEGUROS</t>
        </is>
      </c>
      <c r="QBH71" s="534" t="inlineStr">
        <is>
          <t>RIMAC SEGUROS</t>
        </is>
      </c>
      <c r="QBI71" s="447" t="n"/>
      <c r="QBJ71" s="529" t="n">
        <v>1086478942</v>
      </c>
      <c r="QBK71" s="518" t="n"/>
      <c r="QBL71" s="519" t="n"/>
      <c r="QBM71" s="519" t="n">
        <v>45341</v>
      </c>
      <c r="QBP71" s="137" t="n">
        <v>218.95</v>
      </c>
      <c r="QBQ71" s="30" t="n"/>
      <c r="QBR71" s="451" t="n"/>
      <c r="QBS71" s="34" t="n"/>
      <c r="QBT71" s="30" t="n"/>
      <c r="QBU71" s="138">
        <f>+QBQ71-QBS71-QBU71</f>
        <v/>
      </c>
      <c r="QBV71" s="533" t="n"/>
      <c r="QBW71" s="515" t="inlineStr">
        <is>
          <t>SEGUROS</t>
        </is>
      </c>
      <c r="QBX71" s="534" t="inlineStr">
        <is>
          <t>RIMAC SEGUROS</t>
        </is>
      </c>
      <c r="QBY71" s="447" t="n"/>
      <c r="QBZ71" s="529" t="n">
        <v>1086478942</v>
      </c>
      <c r="QCA71" s="518" t="n"/>
      <c r="QCB71" s="519" t="n"/>
      <c r="QCC71" s="519" t="n">
        <v>45341</v>
      </c>
      <c r="QCF71" s="137" t="n">
        <v>218.95</v>
      </c>
      <c r="QCG71" s="30" t="n"/>
      <c r="QCH71" s="451" t="n"/>
      <c r="QCI71" s="34" t="n"/>
      <c r="QCJ71" s="30" t="n"/>
      <c r="QCK71" s="138">
        <f>+QCG71-QCI71-QCK71</f>
        <v/>
      </c>
      <c r="QCL71" s="533" t="n"/>
      <c r="QCM71" s="515" t="inlineStr">
        <is>
          <t>SEGUROS</t>
        </is>
      </c>
      <c r="QCN71" s="534" t="inlineStr">
        <is>
          <t>RIMAC SEGUROS</t>
        </is>
      </c>
      <c r="QCO71" s="447" t="n"/>
      <c r="QCP71" s="529" t="n">
        <v>1086478942</v>
      </c>
      <c r="QCQ71" s="518" t="n"/>
      <c r="QCR71" s="519" t="n"/>
      <c r="QCS71" s="519" t="n">
        <v>45341</v>
      </c>
      <c r="QCV71" s="137" t="n">
        <v>218.95</v>
      </c>
      <c r="QCW71" s="30" t="n"/>
      <c r="QCX71" s="451" t="n"/>
      <c r="QCY71" s="34" t="n"/>
      <c r="QCZ71" s="30" t="n"/>
      <c r="QDA71" s="138">
        <f>+QCW71-QCY71-QDA71</f>
        <v/>
      </c>
      <c r="QDB71" s="533" t="n"/>
      <c r="QDC71" s="515" t="inlineStr">
        <is>
          <t>SEGUROS</t>
        </is>
      </c>
      <c r="QDD71" s="534" t="inlineStr">
        <is>
          <t>RIMAC SEGUROS</t>
        </is>
      </c>
      <c r="QDE71" s="447" t="n"/>
      <c r="QDF71" s="529" t="n">
        <v>1086478942</v>
      </c>
      <c r="QDG71" s="518" t="n"/>
      <c r="QDH71" s="519" t="n"/>
      <c r="QDI71" s="519" t="n">
        <v>45341</v>
      </c>
      <c r="QDL71" s="137" t="n">
        <v>218.95</v>
      </c>
      <c r="QDM71" s="30" t="n"/>
      <c r="QDN71" s="451" t="n"/>
      <c r="QDO71" s="34" t="n"/>
      <c r="QDP71" s="30" t="n"/>
      <c r="QDQ71" s="138">
        <f>+QDM71-QDO71-QDQ71</f>
        <v/>
      </c>
      <c r="QDR71" s="533" t="n"/>
      <c r="QDS71" s="515" t="inlineStr">
        <is>
          <t>SEGUROS</t>
        </is>
      </c>
      <c r="QDT71" s="534" t="inlineStr">
        <is>
          <t>RIMAC SEGUROS</t>
        </is>
      </c>
      <c r="QDU71" s="447" t="n"/>
      <c r="QDV71" s="529" t="n">
        <v>1086478942</v>
      </c>
      <c r="QDW71" s="518" t="n"/>
      <c r="QDX71" s="519" t="n"/>
      <c r="QDY71" s="519" t="n">
        <v>45341</v>
      </c>
      <c r="QEB71" s="137" t="n">
        <v>218.95</v>
      </c>
      <c r="QEC71" s="30" t="n"/>
      <c r="QED71" s="451" t="n"/>
      <c r="QEE71" s="34" t="n"/>
      <c r="QEF71" s="30" t="n"/>
      <c r="QEG71" s="138">
        <f>+QEC71-QEE71-QEG71</f>
        <v/>
      </c>
      <c r="QEH71" s="533" t="n"/>
      <c r="QEI71" s="515" t="inlineStr">
        <is>
          <t>SEGUROS</t>
        </is>
      </c>
      <c r="QEJ71" s="534" t="inlineStr">
        <is>
          <t>RIMAC SEGUROS</t>
        </is>
      </c>
      <c r="QEK71" s="447" t="n"/>
      <c r="QEL71" s="529" t="n">
        <v>1086478942</v>
      </c>
      <c r="QEM71" s="518" t="n"/>
      <c r="QEN71" s="519" t="n"/>
      <c r="QEO71" s="519" t="n">
        <v>45341</v>
      </c>
      <c r="QER71" s="137" t="n">
        <v>218.95</v>
      </c>
      <c r="QES71" s="30" t="n"/>
      <c r="QET71" s="451" t="n"/>
      <c r="QEU71" s="34" t="n"/>
      <c r="QEV71" s="30" t="n"/>
      <c r="QEW71" s="138">
        <f>+QES71-QEU71-QEW71</f>
        <v/>
      </c>
      <c r="QEX71" s="533" t="n"/>
      <c r="QEY71" s="515" t="inlineStr">
        <is>
          <t>SEGUROS</t>
        </is>
      </c>
      <c r="QEZ71" s="534" t="inlineStr">
        <is>
          <t>RIMAC SEGUROS</t>
        </is>
      </c>
      <c r="QFA71" s="447" t="n"/>
      <c r="QFB71" s="529" t="n">
        <v>1086478942</v>
      </c>
      <c r="QFC71" s="518" t="n"/>
      <c r="QFD71" s="519" t="n"/>
      <c r="QFE71" s="519" t="n">
        <v>45341</v>
      </c>
      <c r="QFH71" s="137" t="n">
        <v>218.95</v>
      </c>
      <c r="QFI71" s="30" t="n"/>
      <c r="QFJ71" s="451" t="n"/>
      <c r="QFK71" s="34" t="n"/>
      <c r="QFL71" s="30" t="n"/>
      <c r="QFM71" s="138">
        <f>+QFI71-QFK71-QFM71</f>
        <v/>
      </c>
      <c r="QFN71" s="533" t="n"/>
      <c r="QFO71" s="515" t="inlineStr">
        <is>
          <t>SEGUROS</t>
        </is>
      </c>
      <c r="QFP71" s="534" t="inlineStr">
        <is>
          <t>RIMAC SEGUROS</t>
        </is>
      </c>
      <c r="QFQ71" s="447" t="n"/>
      <c r="QFR71" s="529" t="n">
        <v>1086478942</v>
      </c>
      <c r="QFS71" s="518" t="n"/>
      <c r="QFT71" s="519" t="n"/>
      <c r="QFU71" s="519" t="n">
        <v>45341</v>
      </c>
      <c r="QFX71" s="137" t="n">
        <v>218.95</v>
      </c>
      <c r="QFY71" s="30" t="n"/>
      <c r="QFZ71" s="451" t="n"/>
      <c r="QGA71" s="34" t="n"/>
      <c r="QGB71" s="30" t="n"/>
      <c r="QGC71" s="138">
        <f>+QFY71-QGA71-QGC71</f>
        <v/>
      </c>
      <c r="QGD71" s="533" t="n"/>
      <c r="QGE71" s="515" t="inlineStr">
        <is>
          <t>SEGUROS</t>
        </is>
      </c>
      <c r="QGF71" s="534" t="inlineStr">
        <is>
          <t>RIMAC SEGUROS</t>
        </is>
      </c>
      <c r="QGG71" s="447" t="n"/>
      <c r="QGH71" s="529" t="n">
        <v>1086478942</v>
      </c>
      <c r="QGI71" s="518" t="n"/>
      <c r="QGJ71" s="519" t="n"/>
      <c r="QGK71" s="519" t="n">
        <v>45341</v>
      </c>
      <c r="QGN71" s="137" t="n">
        <v>218.95</v>
      </c>
      <c r="QGO71" s="30" t="n"/>
      <c r="QGP71" s="451" t="n"/>
      <c r="QGQ71" s="34" t="n"/>
      <c r="QGR71" s="30" t="n"/>
      <c r="QGS71" s="138">
        <f>+QGO71-QGQ71-QGS71</f>
        <v/>
      </c>
      <c r="QGT71" s="533" t="n"/>
      <c r="QGU71" s="515" t="inlineStr">
        <is>
          <t>SEGUROS</t>
        </is>
      </c>
      <c r="QGV71" s="534" t="inlineStr">
        <is>
          <t>RIMAC SEGUROS</t>
        </is>
      </c>
      <c r="QGW71" s="447" t="n"/>
      <c r="QGX71" s="529" t="n">
        <v>1086478942</v>
      </c>
      <c r="QGY71" s="518" t="n"/>
      <c r="QGZ71" s="519" t="n"/>
      <c r="QHA71" s="519" t="n">
        <v>45341</v>
      </c>
      <c r="QHD71" s="137" t="n">
        <v>218.95</v>
      </c>
      <c r="QHE71" s="30" t="n"/>
      <c r="QHF71" s="451" t="n"/>
      <c r="QHG71" s="34" t="n"/>
      <c r="QHH71" s="30" t="n"/>
      <c r="QHI71" s="138">
        <f>+QHE71-QHG71-QHI71</f>
        <v/>
      </c>
      <c r="QHJ71" s="533" t="n"/>
      <c r="QHK71" s="515" t="inlineStr">
        <is>
          <t>SEGUROS</t>
        </is>
      </c>
      <c r="QHL71" s="534" t="inlineStr">
        <is>
          <t>RIMAC SEGUROS</t>
        </is>
      </c>
      <c r="QHM71" s="447" t="n"/>
      <c r="QHN71" s="529" t="n">
        <v>1086478942</v>
      </c>
      <c r="QHO71" s="518" t="n"/>
      <c r="QHP71" s="519" t="n"/>
      <c r="QHQ71" s="519" t="n">
        <v>45341</v>
      </c>
      <c r="QHT71" s="137" t="n">
        <v>218.95</v>
      </c>
      <c r="QHU71" s="30" t="n"/>
      <c r="QHV71" s="451" t="n"/>
      <c r="QHW71" s="34" t="n"/>
      <c r="QHX71" s="30" t="n"/>
      <c r="QHY71" s="138">
        <f>+QHU71-QHW71-QHY71</f>
        <v/>
      </c>
      <c r="QHZ71" s="533" t="n"/>
      <c r="QIA71" s="515" t="inlineStr">
        <is>
          <t>SEGUROS</t>
        </is>
      </c>
      <c r="QIB71" s="534" t="inlineStr">
        <is>
          <t>RIMAC SEGUROS</t>
        </is>
      </c>
      <c r="QIC71" s="447" t="n"/>
      <c r="QID71" s="529" t="n">
        <v>1086478942</v>
      </c>
      <c r="QIE71" s="518" t="n"/>
      <c r="QIF71" s="519" t="n"/>
      <c r="QIG71" s="519" t="n">
        <v>45341</v>
      </c>
      <c r="QIJ71" s="137" t="n">
        <v>218.95</v>
      </c>
      <c r="QIK71" s="30" t="n"/>
      <c r="QIL71" s="451" t="n"/>
      <c r="QIM71" s="34" t="n"/>
      <c r="QIN71" s="30" t="n"/>
      <c r="QIO71" s="138">
        <f>+QIK71-QIM71-QIO71</f>
        <v/>
      </c>
      <c r="QIP71" s="533" t="n"/>
      <c r="QIQ71" s="515" t="inlineStr">
        <is>
          <t>SEGUROS</t>
        </is>
      </c>
      <c r="QIR71" s="534" t="inlineStr">
        <is>
          <t>RIMAC SEGUROS</t>
        </is>
      </c>
      <c r="QIS71" s="447" t="n"/>
      <c r="QIT71" s="529" t="n">
        <v>1086478942</v>
      </c>
      <c r="QIU71" s="518" t="n"/>
      <c r="QIV71" s="519" t="n"/>
      <c r="QIW71" s="519" t="n">
        <v>45341</v>
      </c>
      <c r="QIZ71" s="137" t="n">
        <v>218.95</v>
      </c>
      <c r="QJA71" s="30" t="n"/>
      <c r="QJB71" s="451" t="n"/>
      <c r="QJC71" s="34" t="n"/>
      <c r="QJD71" s="30" t="n"/>
      <c r="QJE71" s="138">
        <f>+QJA71-QJC71-QJE71</f>
        <v/>
      </c>
      <c r="QJF71" s="533" t="n"/>
      <c r="QJG71" s="515" t="inlineStr">
        <is>
          <t>SEGUROS</t>
        </is>
      </c>
      <c r="QJH71" s="534" t="inlineStr">
        <is>
          <t>RIMAC SEGUROS</t>
        </is>
      </c>
      <c r="QJI71" s="447" t="n"/>
      <c r="QJJ71" s="529" t="n">
        <v>1086478942</v>
      </c>
      <c r="QJK71" s="518" t="n"/>
      <c r="QJL71" s="519" t="n"/>
      <c r="QJM71" s="519" t="n">
        <v>45341</v>
      </c>
      <c r="QJP71" s="137" t="n">
        <v>218.95</v>
      </c>
      <c r="QJQ71" s="30" t="n"/>
      <c r="QJR71" s="451" t="n"/>
      <c r="QJS71" s="34" t="n"/>
      <c r="QJT71" s="30" t="n"/>
      <c r="QJU71" s="138">
        <f>+QJQ71-QJS71-QJU71</f>
        <v/>
      </c>
      <c r="QJV71" s="533" t="n"/>
      <c r="QJW71" s="515" t="inlineStr">
        <is>
          <t>SEGUROS</t>
        </is>
      </c>
      <c r="QJX71" s="534" t="inlineStr">
        <is>
          <t>RIMAC SEGUROS</t>
        </is>
      </c>
      <c r="QJY71" s="447" t="n"/>
      <c r="QJZ71" s="529" t="n">
        <v>1086478942</v>
      </c>
      <c r="QKA71" s="518" t="n"/>
      <c r="QKB71" s="519" t="n"/>
      <c r="QKC71" s="519" t="n">
        <v>45341</v>
      </c>
      <c r="QKF71" s="137" t="n">
        <v>218.95</v>
      </c>
      <c r="QKG71" s="30" t="n"/>
      <c r="QKH71" s="451" t="n"/>
      <c r="QKI71" s="34" t="n"/>
      <c r="QKJ71" s="30" t="n"/>
      <c r="QKK71" s="138">
        <f>+QKG71-QKI71-QKK71</f>
        <v/>
      </c>
      <c r="QKL71" s="533" t="n"/>
      <c r="QKM71" s="515" t="inlineStr">
        <is>
          <t>SEGUROS</t>
        </is>
      </c>
      <c r="QKN71" s="534" t="inlineStr">
        <is>
          <t>RIMAC SEGUROS</t>
        </is>
      </c>
      <c r="QKO71" s="447" t="n"/>
      <c r="QKP71" s="529" t="n">
        <v>1086478942</v>
      </c>
      <c r="QKQ71" s="518" t="n"/>
      <c r="QKR71" s="519" t="n"/>
      <c r="QKS71" s="519" t="n">
        <v>45341</v>
      </c>
      <c r="QKV71" s="137" t="n">
        <v>218.95</v>
      </c>
      <c r="QKW71" s="30" t="n"/>
      <c r="QKX71" s="451" t="n"/>
      <c r="QKY71" s="34" t="n"/>
      <c r="QKZ71" s="30" t="n"/>
      <c r="QLA71" s="138">
        <f>+QKW71-QKY71-QLA71</f>
        <v/>
      </c>
      <c r="QLB71" s="533" t="n"/>
      <c r="QLC71" s="515" t="inlineStr">
        <is>
          <t>SEGUROS</t>
        </is>
      </c>
      <c r="QLD71" s="534" t="inlineStr">
        <is>
          <t>RIMAC SEGUROS</t>
        </is>
      </c>
      <c r="QLE71" s="447" t="n"/>
      <c r="QLF71" s="529" t="n">
        <v>1086478942</v>
      </c>
      <c r="QLG71" s="518" t="n"/>
      <c r="QLH71" s="519" t="n"/>
      <c r="QLI71" s="519" t="n">
        <v>45341</v>
      </c>
      <c r="QLL71" s="137" t="n">
        <v>218.95</v>
      </c>
      <c r="QLM71" s="30" t="n"/>
      <c r="QLN71" s="451" t="n"/>
      <c r="QLO71" s="34" t="n"/>
      <c r="QLP71" s="30" t="n"/>
      <c r="QLQ71" s="138">
        <f>+QLM71-QLO71-QLQ71</f>
        <v/>
      </c>
      <c r="QLR71" s="533" t="n"/>
      <c r="QLS71" s="515" t="inlineStr">
        <is>
          <t>SEGUROS</t>
        </is>
      </c>
      <c r="QLT71" s="534" t="inlineStr">
        <is>
          <t>RIMAC SEGUROS</t>
        </is>
      </c>
      <c r="QLU71" s="447" t="n"/>
      <c r="QLV71" s="529" t="n">
        <v>1086478942</v>
      </c>
      <c r="QLW71" s="518" t="n"/>
      <c r="QLX71" s="519" t="n"/>
      <c r="QLY71" s="519" t="n">
        <v>45341</v>
      </c>
      <c r="QMB71" s="137" t="n">
        <v>218.95</v>
      </c>
      <c r="QMC71" s="30" t="n"/>
      <c r="QMD71" s="451" t="n"/>
      <c r="QME71" s="34" t="n"/>
      <c r="QMF71" s="30" t="n"/>
      <c r="QMG71" s="138">
        <f>+QMC71-QME71-QMG71</f>
        <v/>
      </c>
      <c r="QMH71" s="533" t="n"/>
      <c r="QMI71" s="515" t="inlineStr">
        <is>
          <t>SEGUROS</t>
        </is>
      </c>
      <c r="QMJ71" s="534" t="inlineStr">
        <is>
          <t>RIMAC SEGUROS</t>
        </is>
      </c>
      <c r="QMK71" s="447" t="n"/>
      <c r="QML71" s="529" t="n">
        <v>1086478942</v>
      </c>
      <c r="QMM71" s="518" t="n"/>
      <c r="QMN71" s="519" t="n"/>
      <c r="QMO71" s="519" t="n">
        <v>45341</v>
      </c>
      <c r="QMR71" s="137" t="n">
        <v>218.95</v>
      </c>
      <c r="QMS71" s="30" t="n"/>
      <c r="QMT71" s="451" t="n"/>
      <c r="QMU71" s="34" t="n"/>
      <c r="QMV71" s="30" t="n"/>
      <c r="QMW71" s="138">
        <f>+QMS71-QMU71-QMW71</f>
        <v/>
      </c>
      <c r="QMX71" s="533" t="n"/>
      <c r="QMY71" s="515" t="inlineStr">
        <is>
          <t>SEGUROS</t>
        </is>
      </c>
      <c r="QMZ71" s="534" t="inlineStr">
        <is>
          <t>RIMAC SEGUROS</t>
        </is>
      </c>
      <c r="QNA71" s="447" t="n"/>
      <c r="QNB71" s="529" t="n">
        <v>1086478942</v>
      </c>
      <c r="QNC71" s="518" t="n"/>
      <c r="QND71" s="519" t="n"/>
      <c r="QNE71" s="519" t="n">
        <v>45341</v>
      </c>
      <c r="QNH71" s="137" t="n">
        <v>218.95</v>
      </c>
      <c r="QNI71" s="30" t="n"/>
      <c r="QNJ71" s="451" t="n"/>
      <c r="QNK71" s="34" t="n"/>
      <c r="QNL71" s="30" t="n"/>
      <c r="QNM71" s="138">
        <f>+QNI71-QNK71-QNM71</f>
        <v/>
      </c>
      <c r="QNN71" s="533" t="n"/>
      <c r="QNO71" s="515" t="inlineStr">
        <is>
          <t>SEGUROS</t>
        </is>
      </c>
      <c r="QNP71" s="534" t="inlineStr">
        <is>
          <t>RIMAC SEGUROS</t>
        </is>
      </c>
      <c r="QNQ71" s="447" t="n"/>
      <c r="QNR71" s="529" t="n">
        <v>1086478942</v>
      </c>
      <c r="QNS71" s="518" t="n"/>
      <c r="QNT71" s="519" t="n"/>
      <c r="QNU71" s="519" t="n">
        <v>45341</v>
      </c>
      <c r="QNX71" s="137" t="n">
        <v>218.95</v>
      </c>
      <c r="QNY71" s="30" t="n"/>
      <c r="QNZ71" s="451" t="n"/>
      <c r="QOA71" s="34" t="n"/>
      <c r="QOB71" s="30" t="n"/>
      <c r="QOC71" s="138">
        <f>+QNY71-QOA71-QOC71</f>
        <v/>
      </c>
      <c r="QOD71" s="533" t="n"/>
      <c r="QOE71" s="515" t="inlineStr">
        <is>
          <t>SEGUROS</t>
        </is>
      </c>
      <c r="QOF71" s="534" t="inlineStr">
        <is>
          <t>RIMAC SEGUROS</t>
        </is>
      </c>
      <c r="QOG71" s="447" t="n"/>
      <c r="QOH71" s="529" t="n">
        <v>1086478942</v>
      </c>
      <c r="QOI71" s="518" t="n"/>
      <c r="QOJ71" s="519" t="n"/>
      <c r="QOK71" s="519" t="n">
        <v>45341</v>
      </c>
      <c r="QON71" s="137" t="n">
        <v>218.95</v>
      </c>
      <c r="QOO71" s="30" t="n"/>
      <c r="QOP71" s="451" t="n"/>
      <c r="QOQ71" s="34" t="n"/>
      <c r="QOR71" s="30" t="n"/>
      <c r="QOS71" s="138">
        <f>+QOO71-QOQ71-QOS71</f>
        <v/>
      </c>
      <c r="QOT71" s="533" t="n"/>
      <c r="QOU71" s="515" t="inlineStr">
        <is>
          <t>SEGUROS</t>
        </is>
      </c>
      <c r="QOV71" s="534" t="inlineStr">
        <is>
          <t>RIMAC SEGUROS</t>
        </is>
      </c>
      <c r="QOW71" s="447" t="n"/>
      <c r="QOX71" s="529" t="n">
        <v>1086478942</v>
      </c>
      <c r="QOY71" s="518" t="n"/>
      <c r="QOZ71" s="519" t="n"/>
      <c r="QPA71" s="519" t="n">
        <v>45341</v>
      </c>
      <c r="QPD71" s="137" t="n">
        <v>218.95</v>
      </c>
      <c r="QPE71" s="30" t="n"/>
      <c r="QPF71" s="451" t="n"/>
      <c r="QPG71" s="34" t="n"/>
      <c r="QPH71" s="30" t="n"/>
      <c r="QPI71" s="138">
        <f>+QPE71-QPG71-QPI71</f>
        <v/>
      </c>
      <c r="QPJ71" s="533" t="n"/>
      <c r="QPK71" s="515" t="inlineStr">
        <is>
          <t>SEGUROS</t>
        </is>
      </c>
      <c r="QPL71" s="534" t="inlineStr">
        <is>
          <t>RIMAC SEGUROS</t>
        </is>
      </c>
      <c r="QPM71" s="447" t="n"/>
      <c r="QPN71" s="529" t="n">
        <v>1086478942</v>
      </c>
      <c r="QPO71" s="518" t="n"/>
      <c r="QPP71" s="519" t="n"/>
      <c r="QPQ71" s="519" t="n">
        <v>45341</v>
      </c>
      <c r="QPT71" s="137" t="n">
        <v>218.95</v>
      </c>
      <c r="QPU71" s="30" t="n"/>
      <c r="QPV71" s="451" t="n"/>
      <c r="QPW71" s="34" t="n"/>
      <c r="QPX71" s="30" t="n"/>
      <c r="QPY71" s="138">
        <f>+QPU71-QPW71-QPY71</f>
        <v/>
      </c>
      <c r="QPZ71" s="533" t="n"/>
      <c r="QQA71" s="515" t="inlineStr">
        <is>
          <t>SEGUROS</t>
        </is>
      </c>
      <c r="QQB71" s="534" t="inlineStr">
        <is>
          <t>RIMAC SEGUROS</t>
        </is>
      </c>
      <c r="QQC71" s="447" t="n"/>
      <c r="QQD71" s="529" t="n">
        <v>1086478942</v>
      </c>
      <c r="QQE71" s="518" t="n"/>
      <c r="QQF71" s="519" t="n"/>
      <c r="QQG71" s="519" t="n">
        <v>45341</v>
      </c>
      <c r="QQJ71" s="137" t="n">
        <v>218.95</v>
      </c>
      <c r="QQK71" s="30" t="n"/>
      <c r="QQL71" s="451" t="n"/>
      <c r="QQM71" s="34" t="n"/>
      <c r="QQN71" s="30" t="n"/>
      <c r="QQO71" s="138">
        <f>+QQK71-QQM71-QQO71</f>
        <v/>
      </c>
      <c r="QQP71" s="533" t="n"/>
      <c r="QQQ71" s="515" t="inlineStr">
        <is>
          <t>SEGUROS</t>
        </is>
      </c>
      <c r="QQR71" s="534" t="inlineStr">
        <is>
          <t>RIMAC SEGUROS</t>
        </is>
      </c>
      <c r="QQS71" s="447" t="n"/>
      <c r="QQT71" s="529" t="n">
        <v>1086478942</v>
      </c>
      <c r="QQU71" s="518" t="n"/>
      <c r="QQV71" s="519" t="n"/>
      <c r="QQW71" s="519" t="n">
        <v>45341</v>
      </c>
      <c r="QQZ71" s="137" t="n">
        <v>218.95</v>
      </c>
      <c r="QRA71" s="30" t="n"/>
      <c r="QRB71" s="451" t="n"/>
      <c r="QRC71" s="34" t="n"/>
      <c r="QRD71" s="30" t="n"/>
      <c r="QRE71" s="138">
        <f>+QRA71-QRC71-QRE71</f>
        <v/>
      </c>
      <c r="QRF71" s="533" t="n"/>
      <c r="QRG71" s="515" t="inlineStr">
        <is>
          <t>SEGUROS</t>
        </is>
      </c>
      <c r="QRH71" s="534" t="inlineStr">
        <is>
          <t>RIMAC SEGUROS</t>
        </is>
      </c>
      <c r="QRI71" s="447" t="n"/>
      <c r="QRJ71" s="529" t="n">
        <v>1086478942</v>
      </c>
      <c r="QRK71" s="518" t="n"/>
      <c r="QRL71" s="519" t="n"/>
      <c r="QRM71" s="519" t="n">
        <v>45341</v>
      </c>
      <c r="QRP71" s="137" t="n">
        <v>218.95</v>
      </c>
      <c r="QRQ71" s="30" t="n"/>
      <c r="QRR71" s="451" t="n"/>
      <c r="QRS71" s="34" t="n"/>
      <c r="QRT71" s="30" t="n"/>
      <c r="QRU71" s="138">
        <f>+QRQ71-QRS71-QRU71</f>
        <v/>
      </c>
      <c r="QRV71" s="533" t="n"/>
      <c r="QRW71" s="515" t="inlineStr">
        <is>
          <t>SEGUROS</t>
        </is>
      </c>
      <c r="QRX71" s="534" t="inlineStr">
        <is>
          <t>RIMAC SEGUROS</t>
        </is>
      </c>
      <c r="QRY71" s="447" t="n"/>
      <c r="QRZ71" s="529" t="n">
        <v>1086478942</v>
      </c>
      <c r="QSA71" s="518" t="n"/>
      <c r="QSB71" s="519" t="n"/>
      <c r="QSC71" s="519" t="n">
        <v>45341</v>
      </c>
      <c r="QSF71" s="137" t="n">
        <v>218.95</v>
      </c>
      <c r="QSG71" s="30" t="n"/>
      <c r="QSH71" s="451" t="n"/>
      <c r="QSI71" s="34" t="n"/>
      <c r="QSJ71" s="30" t="n"/>
      <c r="QSK71" s="138">
        <f>+QSG71-QSI71-QSK71</f>
        <v/>
      </c>
      <c r="QSL71" s="533" t="n"/>
      <c r="QSM71" s="515" t="inlineStr">
        <is>
          <t>SEGUROS</t>
        </is>
      </c>
      <c r="QSN71" s="534" t="inlineStr">
        <is>
          <t>RIMAC SEGUROS</t>
        </is>
      </c>
      <c r="QSO71" s="447" t="n"/>
      <c r="QSP71" s="529" t="n">
        <v>1086478942</v>
      </c>
      <c r="QSQ71" s="518" t="n"/>
      <c r="QSR71" s="519" t="n"/>
      <c r="QSS71" s="519" t="n">
        <v>45341</v>
      </c>
      <c r="QSV71" s="137" t="n">
        <v>218.95</v>
      </c>
      <c r="QSW71" s="30" t="n"/>
      <c r="QSX71" s="451" t="n"/>
      <c r="QSY71" s="34" t="n"/>
      <c r="QSZ71" s="30" t="n"/>
      <c r="QTA71" s="138">
        <f>+QSW71-QSY71-QTA71</f>
        <v/>
      </c>
      <c r="QTB71" s="533" t="n"/>
      <c r="QTC71" s="515" t="inlineStr">
        <is>
          <t>SEGUROS</t>
        </is>
      </c>
      <c r="QTD71" s="534" t="inlineStr">
        <is>
          <t>RIMAC SEGUROS</t>
        </is>
      </c>
      <c r="QTE71" s="447" t="n"/>
      <c r="QTF71" s="529" t="n">
        <v>1086478942</v>
      </c>
      <c r="QTG71" s="518" t="n"/>
      <c r="QTH71" s="519" t="n"/>
      <c r="QTI71" s="519" t="n">
        <v>45341</v>
      </c>
      <c r="QTL71" s="137" t="n">
        <v>218.95</v>
      </c>
      <c r="QTM71" s="30" t="n"/>
      <c r="QTN71" s="451" t="n"/>
      <c r="QTO71" s="34" t="n"/>
      <c r="QTP71" s="30" t="n"/>
      <c r="QTQ71" s="138">
        <f>+QTM71-QTO71-QTQ71</f>
        <v/>
      </c>
      <c r="QTR71" s="533" t="n"/>
      <c r="QTS71" s="515" t="inlineStr">
        <is>
          <t>SEGUROS</t>
        </is>
      </c>
      <c r="QTT71" s="534" t="inlineStr">
        <is>
          <t>RIMAC SEGUROS</t>
        </is>
      </c>
      <c r="QTU71" s="447" t="n"/>
      <c r="QTV71" s="529" t="n">
        <v>1086478942</v>
      </c>
      <c r="QTW71" s="518" t="n"/>
      <c r="QTX71" s="519" t="n"/>
      <c r="QTY71" s="519" t="n">
        <v>45341</v>
      </c>
      <c r="QUB71" s="137" t="n">
        <v>218.95</v>
      </c>
      <c r="QUC71" s="30" t="n"/>
      <c r="QUD71" s="451" t="n"/>
      <c r="QUE71" s="34" t="n"/>
      <c r="QUF71" s="30" t="n"/>
      <c r="QUG71" s="138">
        <f>+QUC71-QUE71-QUG71</f>
        <v/>
      </c>
      <c r="QUH71" s="533" t="n"/>
      <c r="QUI71" s="515" t="inlineStr">
        <is>
          <t>SEGUROS</t>
        </is>
      </c>
      <c r="QUJ71" s="534" t="inlineStr">
        <is>
          <t>RIMAC SEGUROS</t>
        </is>
      </c>
      <c r="QUK71" s="447" t="n"/>
      <c r="QUL71" s="529" t="n">
        <v>1086478942</v>
      </c>
      <c r="QUM71" s="518" t="n"/>
      <c r="QUN71" s="519" t="n"/>
      <c r="QUO71" s="519" t="n">
        <v>45341</v>
      </c>
      <c r="QUR71" s="137" t="n">
        <v>218.95</v>
      </c>
      <c r="QUS71" s="30" t="n"/>
      <c r="QUT71" s="451" t="n"/>
      <c r="QUU71" s="34" t="n"/>
      <c r="QUV71" s="30" t="n"/>
      <c r="QUW71" s="138">
        <f>+QUS71-QUU71-QUW71</f>
        <v/>
      </c>
      <c r="QUX71" s="533" t="n"/>
      <c r="QUY71" s="515" t="inlineStr">
        <is>
          <t>SEGUROS</t>
        </is>
      </c>
      <c r="QUZ71" s="534" t="inlineStr">
        <is>
          <t>RIMAC SEGUROS</t>
        </is>
      </c>
      <c r="QVA71" s="447" t="n"/>
      <c r="QVB71" s="529" t="n">
        <v>1086478942</v>
      </c>
      <c r="QVC71" s="518" t="n"/>
      <c r="QVD71" s="519" t="n"/>
      <c r="QVE71" s="519" t="n">
        <v>45341</v>
      </c>
      <c r="QVH71" s="137" t="n">
        <v>218.95</v>
      </c>
      <c r="QVI71" s="30" t="n"/>
      <c r="QVJ71" s="451" t="n"/>
      <c r="QVK71" s="34" t="n"/>
      <c r="QVL71" s="30" t="n"/>
      <c r="QVM71" s="138">
        <f>+QVI71-QVK71-QVM71</f>
        <v/>
      </c>
      <c r="QVN71" s="533" t="n"/>
      <c r="QVO71" s="515" t="inlineStr">
        <is>
          <t>SEGUROS</t>
        </is>
      </c>
      <c r="QVP71" s="534" t="inlineStr">
        <is>
          <t>RIMAC SEGUROS</t>
        </is>
      </c>
      <c r="QVQ71" s="447" t="n"/>
      <c r="QVR71" s="529" t="n">
        <v>1086478942</v>
      </c>
      <c r="QVS71" s="518" t="n"/>
      <c r="QVT71" s="519" t="n"/>
      <c r="QVU71" s="519" t="n">
        <v>45341</v>
      </c>
      <c r="QVX71" s="137" t="n">
        <v>218.95</v>
      </c>
      <c r="QVY71" s="30" t="n"/>
      <c r="QVZ71" s="451" t="n"/>
      <c r="QWA71" s="34" t="n"/>
      <c r="QWB71" s="30" t="n"/>
      <c r="QWC71" s="138">
        <f>+QVY71-QWA71-QWC71</f>
        <v/>
      </c>
      <c r="QWD71" s="533" t="n"/>
      <c r="QWE71" s="515" t="inlineStr">
        <is>
          <t>SEGUROS</t>
        </is>
      </c>
      <c r="QWF71" s="534" t="inlineStr">
        <is>
          <t>RIMAC SEGUROS</t>
        </is>
      </c>
      <c r="QWG71" s="447" t="n"/>
      <c r="QWH71" s="529" t="n">
        <v>1086478942</v>
      </c>
      <c r="QWI71" s="518" t="n"/>
      <c r="QWJ71" s="519" t="n"/>
      <c r="QWK71" s="519" t="n">
        <v>45341</v>
      </c>
      <c r="QWN71" s="137" t="n">
        <v>218.95</v>
      </c>
      <c r="QWO71" s="30" t="n"/>
      <c r="QWP71" s="451" t="n"/>
      <c r="QWQ71" s="34" t="n"/>
      <c r="QWR71" s="30" t="n"/>
      <c r="QWS71" s="138">
        <f>+QWO71-QWQ71-QWS71</f>
        <v/>
      </c>
      <c r="QWT71" s="533" t="n"/>
      <c r="QWU71" s="515" t="inlineStr">
        <is>
          <t>SEGUROS</t>
        </is>
      </c>
      <c r="QWV71" s="534" t="inlineStr">
        <is>
          <t>RIMAC SEGUROS</t>
        </is>
      </c>
      <c r="QWW71" s="447" t="n"/>
      <c r="QWX71" s="529" t="n">
        <v>1086478942</v>
      </c>
      <c r="QWY71" s="518" t="n"/>
      <c r="QWZ71" s="519" t="n"/>
      <c r="QXA71" s="519" t="n">
        <v>45341</v>
      </c>
      <c r="QXD71" s="137" t="n">
        <v>218.95</v>
      </c>
      <c r="QXE71" s="30" t="n"/>
      <c r="QXF71" s="451" t="n"/>
      <c r="QXG71" s="34" t="n"/>
      <c r="QXH71" s="30" t="n"/>
      <c r="QXI71" s="138">
        <f>+QXE71-QXG71-QXI71</f>
        <v/>
      </c>
      <c r="QXJ71" s="533" t="n"/>
      <c r="QXK71" s="515" t="inlineStr">
        <is>
          <t>SEGUROS</t>
        </is>
      </c>
      <c r="QXL71" s="534" t="inlineStr">
        <is>
          <t>RIMAC SEGUROS</t>
        </is>
      </c>
      <c r="QXM71" s="447" t="n"/>
      <c r="QXN71" s="529" t="n">
        <v>1086478942</v>
      </c>
      <c r="QXO71" s="518" t="n"/>
      <c r="QXP71" s="519" t="n"/>
      <c r="QXQ71" s="519" t="n">
        <v>45341</v>
      </c>
      <c r="QXT71" s="137" t="n">
        <v>218.95</v>
      </c>
      <c r="QXU71" s="30" t="n"/>
      <c r="QXV71" s="451" t="n"/>
      <c r="QXW71" s="34" t="n"/>
      <c r="QXX71" s="30" t="n"/>
      <c r="QXY71" s="138">
        <f>+QXU71-QXW71-QXY71</f>
        <v/>
      </c>
      <c r="QXZ71" s="533" t="n"/>
      <c r="QYA71" s="515" t="inlineStr">
        <is>
          <t>SEGUROS</t>
        </is>
      </c>
      <c r="QYB71" s="534" t="inlineStr">
        <is>
          <t>RIMAC SEGUROS</t>
        </is>
      </c>
      <c r="QYC71" s="447" t="n"/>
      <c r="QYD71" s="529" t="n">
        <v>1086478942</v>
      </c>
      <c r="QYE71" s="518" t="n"/>
      <c r="QYF71" s="519" t="n"/>
      <c r="QYG71" s="519" t="n">
        <v>45341</v>
      </c>
      <c r="QYJ71" s="137" t="n">
        <v>218.95</v>
      </c>
      <c r="QYK71" s="30" t="n"/>
      <c r="QYL71" s="451" t="n"/>
      <c r="QYM71" s="34" t="n"/>
      <c r="QYN71" s="30" t="n"/>
      <c r="QYO71" s="138">
        <f>+QYK71-QYM71-QYO71</f>
        <v/>
      </c>
      <c r="QYP71" s="533" t="n"/>
      <c r="QYQ71" s="515" t="inlineStr">
        <is>
          <t>SEGUROS</t>
        </is>
      </c>
      <c r="QYR71" s="534" t="inlineStr">
        <is>
          <t>RIMAC SEGUROS</t>
        </is>
      </c>
      <c r="QYS71" s="447" t="n"/>
      <c r="QYT71" s="529" t="n">
        <v>1086478942</v>
      </c>
      <c r="QYU71" s="518" t="n"/>
      <c r="QYV71" s="519" t="n"/>
      <c r="QYW71" s="519" t="n">
        <v>45341</v>
      </c>
      <c r="QYZ71" s="137" t="n">
        <v>218.95</v>
      </c>
      <c r="QZA71" s="30" t="n"/>
      <c r="QZB71" s="451" t="n"/>
      <c r="QZC71" s="34" t="n"/>
      <c r="QZD71" s="30" t="n"/>
      <c r="QZE71" s="138">
        <f>+QZA71-QZC71-QZE71</f>
        <v/>
      </c>
      <c r="QZF71" s="533" t="n"/>
      <c r="QZG71" s="515" t="inlineStr">
        <is>
          <t>SEGUROS</t>
        </is>
      </c>
      <c r="QZH71" s="534" t="inlineStr">
        <is>
          <t>RIMAC SEGUROS</t>
        </is>
      </c>
      <c r="QZI71" s="447" t="n"/>
      <c r="QZJ71" s="529" t="n">
        <v>1086478942</v>
      </c>
      <c r="QZK71" s="518" t="n"/>
      <c r="QZL71" s="519" t="n"/>
      <c r="QZM71" s="519" t="n">
        <v>45341</v>
      </c>
      <c r="QZP71" s="137" t="n">
        <v>218.95</v>
      </c>
      <c r="QZQ71" s="30" t="n"/>
      <c r="QZR71" s="451" t="n"/>
      <c r="QZS71" s="34" t="n"/>
      <c r="QZT71" s="30" t="n"/>
      <c r="QZU71" s="138">
        <f>+QZQ71-QZS71-QZU71</f>
        <v/>
      </c>
      <c r="QZV71" s="533" t="n"/>
      <c r="QZW71" s="515" t="inlineStr">
        <is>
          <t>SEGUROS</t>
        </is>
      </c>
      <c r="QZX71" s="534" t="inlineStr">
        <is>
          <t>RIMAC SEGUROS</t>
        </is>
      </c>
      <c r="QZY71" s="447" t="n"/>
      <c r="QZZ71" s="529" t="n">
        <v>1086478942</v>
      </c>
      <c r="RAA71" s="518" t="n"/>
      <c r="RAB71" s="519" t="n"/>
      <c r="RAC71" s="519" t="n">
        <v>45341</v>
      </c>
      <c r="RAF71" s="137" t="n">
        <v>218.95</v>
      </c>
      <c r="RAG71" s="30" t="n"/>
      <c r="RAH71" s="451" t="n"/>
      <c r="RAI71" s="34" t="n"/>
      <c r="RAJ71" s="30" t="n"/>
      <c r="RAK71" s="138">
        <f>+RAG71-RAI71-RAK71</f>
        <v/>
      </c>
      <c r="RAL71" s="533" t="n"/>
      <c r="RAM71" s="515" t="inlineStr">
        <is>
          <t>SEGUROS</t>
        </is>
      </c>
      <c r="RAN71" s="534" t="inlineStr">
        <is>
          <t>RIMAC SEGUROS</t>
        </is>
      </c>
      <c r="RAO71" s="447" t="n"/>
      <c r="RAP71" s="529" t="n">
        <v>1086478942</v>
      </c>
      <c r="RAQ71" s="518" t="n"/>
      <c r="RAR71" s="519" t="n"/>
      <c r="RAS71" s="519" t="n">
        <v>45341</v>
      </c>
      <c r="RAV71" s="137" t="n">
        <v>218.95</v>
      </c>
      <c r="RAW71" s="30" t="n"/>
      <c r="RAX71" s="451" t="n"/>
      <c r="RAY71" s="34" t="n"/>
      <c r="RAZ71" s="30" t="n"/>
      <c r="RBA71" s="138">
        <f>+RAW71-RAY71-RBA71</f>
        <v/>
      </c>
      <c r="RBB71" s="533" t="n"/>
      <c r="RBC71" s="515" t="inlineStr">
        <is>
          <t>SEGUROS</t>
        </is>
      </c>
      <c r="RBD71" s="534" t="inlineStr">
        <is>
          <t>RIMAC SEGUROS</t>
        </is>
      </c>
      <c r="RBE71" s="447" t="n"/>
      <c r="RBF71" s="529" t="n">
        <v>1086478942</v>
      </c>
      <c r="RBG71" s="518" t="n"/>
      <c r="RBH71" s="519" t="n"/>
      <c r="RBI71" s="519" t="n">
        <v>45341</v>
      </c>
      <c r="RBL71" s="137" t="n">
        <v>218.95</v>
      </c>
      <c r="RBM71" s="30" t="n"/>
      <c r="RBN71" s="451" t="n"/>
      <c r="RBO71" s="34" t="n"/>
      <c r="RBP71" s="30" t="n"/>
      <c r="RBQ71" s="138">
        <f>+RBM71-RBO71-RBQ71</f>
        <v/>
      </c>
      <c r="RBR71" s="533" t="n"/>
      <c r="RBS71" s="515" t="inlineStr">
        <is>
          <t>SEGUROS</t>
        </is>
      </c>
      <c r="RBT71" s="534" t="inlineStr">
        <is>
          <t>RIMAC SEGUROS</t>
        </is>
      </c>
      <c r="RBU71" s="447" t="n"/>
      <c r="RBV71" s="529" t="n">
        <v>1086478942</v>
      </c>
      <c r="RBW71" s="518" t="n"/>
      <c r="RBX71" s="519" t="n"/>
      <c r="RBY71" s="519" t="n">
        <v>45341</v>
      </c>
      <c r="RCB71" s="137" t="n">
        <v>218.95</v>
      </c>
      <c r="RCC71" s="30" t="n"/>
      <c r="RCD71" s="451" t="n"/>
      <c r="RCE71" s="34" t="n"/>
      <c r="RCF71" s="30" t="n"/>
      <c r="RCG71" s="138">
        <f>+RCC71-RCE71-RCG71</f>
        <v/>
      </c>
      <c r="RCH71" s="533" t="n"/>
      <c r="RCI71" s="515" t="inlineStr">
        <is>
          <t>SEGUROS</t>
        </is>
      </c>
      <c r="RCJ71" s="534" t="inlineStr">
        <is>
          <t>RIMAC SEGUROS</t>
        </is>
      </c>
      <c r="RCK71" s="447" t="n"/>
      <c r="RCL71" s="529" t="n">
        <v>1086478942</v>
      </c>
      <c r="RCM71" s="518" t="n"/>
      <c r="RCN71" s="519" t="n"/>
      <c r="RCO71" s="519" t="n">
        <v>45341</v>
      </c>
      <c r="RCR71" s="137" t="n">
        <v>218.95</v>
      </c>
      <c r="RCS71" s="30" t="n"/>
      <c r="RCT71" s="451" t="n"/>
      <c r="RCU71" s="34" t="n"/>
      <c r="RCV71" s="30" t="n"/>
      <c r="RCW71" s="138">
        <f>+RCS71-RCU71-RCW71</f>
        <v/>
      </c>
      <c r="RCX71" s="533" t="n"/>
      <c r="RCY71" s="515" t="inlineStr">
        <is>
          <t>SEGUROS</t>
        </is>
      </c>
      <c r="RCZ71" s="534" t="inlineStr">
        <is>
          <t>RIMAC SEGUROS</t>
        </is>
      </c>
      <c r="RDA71" s="447" t="n"/>
      <c r="RDB71" s="529" t="n">
        <v>1086478942</v>
      </c>
      <c r="RDC71" s="518" t="n"/>
      <c r="RDD71" s="519" t="n"/>
      <c r="RDE71" s="519" t="n">
        <v>45341</v>
      </c>
      <c r="RDH71" s="137" t="n">
        <v>218.95</v>
      </c>
      <c r="RDI71" s="30" t="n"/>
      <c r="RDJ71" s="451" t="n"/>
      <c r="RDK71" s="34" t="n"/>
      <c r="RDL71" s="30" t="n"/>
      <c r="RDM71" s="138">
        <f>+RDI71-RDK71-RDM71</f>
        <v/>
      </c>
      <c r="RDN71" s="533" t="n"/>
      <c r="RDO71" s="515" t="inlineStr">
        <is>
          <t>SEGUROS</t>
        </is>
      </c>
      <c r="RDP71" s="534" t="inlineStr">
        <is>
          <t>RIMAC SEGUROS</t>
        </is>
      </c>
      <c r="RDQ71" s="447" t="n"/>
      <c r="RDR71" s="529" t="n">
        <v>1086478942</v>
      </c>
      <c r="RDS71" s="518" t="n"/>
      <c r="RDT71" s="519" t="n"/>
      <c r="RDU71" s="519" t="n">
        <v>45341</v>
      </c>
      <c r="RDX71" s="137" t="n">
        <v>218.95</v>
      </c>
      <c r="RDY71" s="30" t="n"/>
      <c r="RDZ71" s="451" t="n"/>
      <c r="REA71" s="34" t="n"/>
      <c r="REB71" s="30" t="n"/>
      <c r="REC71" s="138">
        <f>+RDY71-REA71-REC71</f>
        <v/>
      </c>
      <c r="RED71" s="533" t="n"/>
      <c r="REE71" s="515" t="inlineStr">
        <is>
          <t>SEGUROS</t>
        </is>
      </c>
      <c r="REF71" s="534" t="inlineStr">
        <is>
          <t>RIMAC SEGUROS</t>
        </is>
      </c>
      <c r="REG71" s="447" t="n"/>
      <c r="REH71" s="529" t="n">
        <v>1086478942</v>
      </c>
      <c r="REI71" s="518" t="n"/>
      <c r="REJ71" s="519" t="n"/>
      <c r="REK71" s="519" t="n">
        <v>45341</v>
      </c>
      <c r="REN71" s="137" t="n">
        <v>218.95</v>
      </c>
      <c r="REO71" s="30" t="n"/>
      <c r="REP71" s="451" t="n"/>
      <c r="REQ71" s="34" t="n"/>
      <c r="RER71" s="30" t="n"/>
      <c r="RES71" s="138">
        <f>+REO71-REQ71-RES71</f>
        <v/>
      </c>
      <c r="RET71" s="533" t="n"/>
      <c r="REU71" s="515" t="inlineStr">
        <is>
          <t>SEGUROS</t>
        </is>
      </c>
      <c r="REV71" s="534" t="inlineStr">
        <is>
          <t>RIMAC SEGUROS</t>
        </is>
      </c>
      <c r="REW71" s="447" t="n"/>
      <c r="REX71" s="529" t="n">
        <v>1086478942</v>
      </c>
      <c r="REY71" s="518" t="n"/>
      <c r="REZ71" s="519" t="n"/>
      <c r="RFA71" s="519" t="n">
        <v>45341</v>
      </c>
      <c r="RFD71" s="137" t="n">
        <v>218.95</v>
      </c>
      <c r="RFE71" s="30" t="n"/>
      <c r="RFF71" s="451" t="n"/>
      <c r="RFG71" s="34" t="n"/>
      <c r="RFH71" s="30" t="n"/>
      <c r="RFI71" s="138">
        <f>+RFE71-RFG71-RFI71</f>
        <v/>
      </c>
      <c r="RFJ71" s="533" t="n"/>
      <c r="RFK71" s="515" t="inlineStr">
        <is>
          <t>SEGUROS</t>
        </is>
      </c>
      <c r="RFL71" s="534" t="inlineStr">
        <is>
          <t>RIMAC SEGUROS</t>
        </is>
      </c>
      <c r="RFM71" s="447" t="n"/>
      <c r="RFN71" s="529" t="n">
        <v>1086478942</v>
      </c>
      <c r="RFO71" s="518" t="n"/>
      <c r="RFP71" s="519" t="n"/>
      <c r="RFQ71" s="519" t="n">
        <v>45341</v>
      </c>
      <c r="RFT71" s="137" t="n">
        <v>218.95</v>
      </c>
      <c r="RFU71" s="30" t="n"/>
      <c r="RFV71" s="451" t="n"/>
      <c r="RFW71" s="34" t="n"/>
      <c r="RFX71" s="30" t="n"/>
      <c r="RFY71" s="138">
        <f>+RFU71-RFW71-RFY71</f>
        <v/>
      </c>
      <c r="RFZ71" s="533" t="n"/>
      <c r="RGA71" s="515" t="inlineStr">
        <is>
          <t>SEGUROS</t>
        </is>
      </c>
      <c r="RGB71" s="534" t="inlineStr">
        <is>
          <t>RIMAC SEGUROS</t>
        </is>
      </c>
      <c r="RGC71" s="447" t="n"/>
      <c r="RGD71" s="529" t="n">
        <v>1086478942</v>
      </c>
      <c r="RGE71" s="518" t="n"/>
      <c r="RGF71" s="519" t="n"/>
      <c r="RGG71" s="519" t="n">
        <v>45341</v>
      </c>
      <c r="RGJ71" s="137" t="n">
        <v>218.95</v>
      </c>
      <c r="RGK71" s="30" t="n"/>
      <c r="RGL71" s="451" t="n"/>
      <c r="RGM71" s="34" t="n"/>
      <c r="RGN71" s="30" t="n"/>
      <c r="RGO71" s="138">
        <f>+RGK71-RGM71-RGO71</f>
        <v/>
      </c>
      <c r="RGP71" s="533" t="n"/>
      <c r="RGQ71" s="515" t="inlineStr">
        <is>
          <t>SEGUROS</t>
        </is>
      </c>
      <c r="RGR71" s="534" t="inlineStr">
        <is>
          <t>RIMAC SEGUROS</t>
        </is>
      </c>
      <c r="RGS71" s="447" t="n"/>
      <c r="RGT71" s="529" t="n">
        <v>1086478942</v>
      </c>
      <c r="RGU71" s="518" t="n"/>
      <c r="RGV71" s="519" t="n"/>
      <c r="RGW71" s="519" t="n">
        <v>45341</v>
      </c>
      <c r="RGZ71" s="137" t="n">
        <v>218.95</v>
      </c>
      <c r="RHA71" s="30" t="n"/>
      <c r="RHB71" s="451" t="n"/>
      <c r="RHC71" s="34" t="n"/>
      <c r="RHD71" s="30" t="n"/>
      <c r="RHE71" s="138">
        <f>+RHA71-RHC71-RHE71</f>
        <v/>
      </c>
      <c r="RHF71" s="533" t="n"/>
      <c r="RHG71" s="515" t="inlineStr">
        <is>
          <t>SEGUROS</t>
        </is>
      </c>
      <c r="RHH71" s="534" t="inlineStr">
        <is>
          <t>RIMAC SEGUROS</t>
        </is>
      </c>
      <c r="RHI71" s="447" t="n"/>
      <c r="RHJ71" s="529" t="n">
        <v>1086478942</v>
      </c>
      <c r="RHK71" s="518" t="n"/>
      <c r="RHL71" s="519" t="n"/>
      <c r="RHM71" s="519" t="n">
        <v>45341</v>
      </c>
      <c r="RHP71" s="137" t="n">
        <v>218.95</v>
      </c>
      <c r="RHQ71" s="30" t="n"/>
      <c r="RHR71" s="451" t="n"/>
      <c r="RHS71" s="34" t="n"/>
      <c r="RHT71" s="30" t="n"/>
      <c r="RHU71" s="138">
        <f>+RHQ71-RHS71-RHU71</f>
        <v/>
      </c>
      <c r="RHV71" s="533" t="n"/>
      <c r="RHW71" s="515" t="inlineStr">
        <is>
          <t>SEGUROS</t>
        </is>
      </c>
      <c r="RHX71" s="534" t="inlineStr">
        <is>
          <t>RIMAC SEGUROS</t>
        </is>
      </c>
      <c r="RHY71" s="447" t="n"/>
      <c r="RHZ71" s="529" t="n">
        <v>1086478942</v>
      </c>
      <c r="RIA71" s="518" t="n"/>
      <c r="RIB71" s="519" t="n"/>
      <c r="RIC71" s="519" t="n">
        <v>45341</v>
      </c>
      <c r="RIF71" s="137" t="n">
        <v>218.95</v>
      </c>
      <c r="RIG71" s="30" t="n"/>
      <c r="RIH71" s="451" t="n"/>
      <c r="RII71" s="34" t="n"/>
      <c r="RIJ71" s="30" t="n"/>
      <c r="RIK71" s="138">
        <f>+RIG71-RII71-RIK71</f>
        <v/>
      </c>
      <c r="RIL71" s="533" t="n"/>
      <c r="RIM71" s="515" t="inlineStr">
        <is>
          <t>SEGUROS</t>
        </is>
      </c>
      <c r="RIN71" s="534" t="inlineStr">
        <is>
          <t>RIMAC SEGUROS</t>
        </is>
      </c>
      <c r="RIO71" s="447" t="n"/>
      <c r="RIP71" s="529" t="n">
        <v>1086478942</v>
      </c>
      <c r="RIQ71" s="518" t="n"/>
      <c r="RIR71" s="519" t="n"/>
      <c r="RIS71" s="519" t="n">
        <v>45341</v>
      </c>
      <c r="RIV71" s="137" t="n">
        <v>218.95</v>
      </c>
      <c r="RIW71" s="30" t="n"/>
      <c r="RIX71" s="451" t="n"/>
      <c r="RIY71" s="34" t="n"/>
      <c r="RIZ71" s="30" t="n"/>
      <c r="RJA71" s="138">
        <f>+RIW71-RIY71-RJA71</f>
        <v/>
      </c>
      <c r="RJB71" s="533" t="n"/>
      <c r="RJC71" s="515" t="inlineStr">
        <is>
          <t>SEGUROS</t>
        </is>
      </c>
      <c r="RJD71" s="534" t="inlineStr">
        <is>
          <t>RIMAC SEGUROS</t>
        </is>
      </c>
      <c r="RJE71" s="447" t="n"/>
      <c r="RJF71" s="529" t="n">
        <v>1086478942</v>
      </c>
      <c r="RJG71" s="518" t="n"/>
      <c r="RJH71" s="519" t="n"/>
      <c r="RJI71" s="519" t="n">
        <v>45341</v>
      </c>
      <c r="RJL71" s="137" t="n">
        <v>218.95</v>
      </c>
      <c r="RJM71" s="30" t="n"/>
      <c r="RJN71" s="451" t="n"/>
      <c r="RJO71" s="34" t="n"/>
      <c r="RJP71" s="30" t="n"/>
      <c r="RJQ71" s="138">
        <f>+RJM71-RJO71-RJQ71</f>
        <v/>
      </c>
      <c r="RJR71" s="533" t="n"/>
      <c r="RJS71" s="515" t="inlineStr">
        <is>
          <t>SEGUROS</t>
        </is>
      </c>
      <c r="RJT71" s="534" t="inlineStr">
        <is>
          <t>RIMAC SEGUROS</t>
        </is>
      </c>
      <c r="RJU71" s="447" t="n"/>
      <c r="RJV71" s="529" t="n">
        <v>1086478942</v>
      </c>
      <c r="RJW71" s="518" t="n"/>
      <c r="RJX71" s="519" t="n"/>
      <c r="RJY71" s="519" t="n">
        <v>45341</v>
      </c>
      <c r="RKB71" s="137" t="n">
        <v>218.95</v>
      </c>
      <c r="RKC71" s="30" t="n"/>
      <c r="RKD71" s="451" t="n"/>
      <c r="RKE71" s="34" t="n"/>
      <c r="RKF71" s="30" t="n"/>
      <c r="RKG71" s="138">
        <f>+RKC71-RKE71-RKG71</f>
        <v/>
      </c>
      <c r="RKH71" s="533" t="n"/>
      <c r="RKI71" s="515" t="inlineStr">
        <is>
          <t>SEGUROS</t>
        </is>
      </c>
      <c r="RKJ71" s="534" t="inlineStr">
        <is>
          <t>RIMAC SEGUROS</t>
        </is>
      </c>
      <c r="RKK71" s="447" t="n"/>
      <c r="RKL71" s="529" t="n">
        <v>1086478942</v>
      </c>
      <c r="RKM71" s="518" t="n"/>
      <c r="RKN71" s="519" t="n"/>
      <c r="RKO71" s="519" t="n">
        <v>45341</v>
      </c>
      <c r="RKR71" s="137" t="n">
        <v>218.95</v>
      </c>
      <c r="RKS71" s="30" t="n"/>
      <c r="RKT71" s="451" t="n"/>
      <c r="RKU71" s="34" t="n"/>
      <c r="RKV71" s="30" t="n"/>
      <c r="RKW71" s="138">
        <f>+RKS71-RKU71-RKW71</f>
        <v/>
      </c>
      <c r="RKX71" s="533" t="n"/>
      <c r="RKY71" s="515" t="inlineStr">
        <is>
          <t>SEGUROS</t>
        </is>
      </c>
      <c r="RKZ71" s="534" t="inlineStr">
        <is>
          <t>RIMAC SEGUROS</t>
        </is>
      </c>
      <c r="RLA71" s="447" t="n"/>
      <c r="RLB71" s="529" t="n">
        <v>1086478942</v>
      </c>
      <c r="RLC71" s="518" t="n"/>
      <c r="RLD71" s="519" t="n"/>
      <c r="RLE71" s="519" t="n">
        <v>45341</v>
      </c>
      <c r="RLH71" s="137" t="n">
        <v>218.95</v>
      </c>
      <c r="RLI71" s="30" t="n"/>
      <c r="RLJ71" s="451" t="n"/>
      <c r="RLK71" s="34" t="n"/>
      <c r="RLL71" s="30" t="n"/>
      <c r="RLM71" s="138">
        <f>+RLI71-RLK71-RLM71</f>
        <v/>
      </c>
      <c r="RLN71" s="533" t="n"/>
      <c r="RLO71" s="515" t="inlineStr">
        <is>
          <t>SEGUROS</t>
        </is>
      </c>
      <c r="RLP71" s="534" t="inlineStr">
        <is>
          <t>RIMAC SEGUROS</t>
        </is>
      </c>
      <c r="RLQ71" s="447" t="n"/>
      <c r="RLR71" s="529" t="n">
        <v>1086478942</v>
      </c>
      <c r="RLS71" s="518" t="n"/>
      <c r="RLT71" s="519" t="n"/>
      <c r="RLU71" s="519" t="n">
        <v>45341</v>
      </c>
      <c r="RLX71" s="137" t="n">
        <v>218.95</v>
      </c>
      <c r="RLY71" s="30" t="n"/>
      <c r="RLZ71" s="451" t="n"/>
      <c r="RMA71" s="34" t="n"/>
      <c r="RMB71" s="30" t="n"/>
      <c r="RMC71" s="138">
        <f>+RLY71-RMA71-RMC71</f>
        <v/>
      </c>
      <c r="RMD71" s="533" t="n"/>
      <c r="RME71" s="515" t="inlineStr">
        <is>
          <t>SEGUROS</t>
        </is>
      </c>
      <c r="RMF71" s="534" t="inlineStr">
        <is>
          <t>RIMAC SEGUROS</t>
        </is>
      </c>
      <c r="RMG71" s="447" t="n"/>
      <c r="RMH71" s="529" t="n">
        <v>1086478942</v>
      </c>
      <c r="RMI71" s="518" t="n"/>
      <c r="RMJ71" s="519" t="n"/>
      <c r="RMK71" s="519" t="n">
        <v>45341</v>
      </c>
      <c r="RMN71" s="137" t="n">
        <v>218.95</v>
      </c>
      <c r="RMO71" s="30" t="n"/>
      <c r="RMP71" s="451" t="n"/>
      <c r="RMQ71" s="34" t="n"/>
      <c r="RMR71" s="30" t="n"/>
      <c r="RMS71" s="138">
        <f>+RMO71-RMQ71-RMS71</f>
        <v/>
      </c>
      <c r="RMT71" s="533" t="n"/>
      <c r="RMU71" s="515" t="inlineStr">
        <is>
          <t>SEGUROS</t>
        </is>
      </c>
      <c r="RMV71" s="534" t="inlineStr">
        <is>
          <t>RIMAC SEGUROS</t>
        </is>
      </c>
      <c r="RMW71" s="447" t="n"/>
      <c r="RMX71" s="529" t="n">
        <v>1086478942</v>
      </c>
      <c r="RMY71" s="518" t="n"/>
      <c r="RMZ71" s="519" t="n"/>
      <c r="RNA71" s="519" t="n">
        <v>45341</v>
      </c>
      <c r="RND71" s="137" t="n">
        <v>218.95</v>
      </c>
      <c r="RNE71" s="30" t="n"/>
      <c r="RNF71" s="451" t="n"/>
      <c r="RNG71" s="34" t="n"/>
      <c r="RNH71" s="30" t="n"/>
      <c r="RNI71" s="138">
        <f>+RNE71-RNG71-RNI71</f>
        <v/>
      </c>
      <c r="RNJ71" s="533" t="n"/>
      <c r="RNK71" s="515" t="inlineStr">
        <is>
          <t>SEGUROS</t>
        </is>
      </c>
      <c r="RNL71" s="534" t="inlineStr">
        <is>
          <t>RIMAC SEGUROS</t>
        </is>
      </c>
      <c r="RNM71" s="447" t="n"/>
      <c r="RNN71" s="529" t="n">
        <v>1086478942</v>
      </c>
      <c r="RNO71" s="518" t="n"/>
      <c r="RNP71" s="519" t="n"/>
      <c r="RNQ71" s="519" t="n">
        <v>45341</v>
      </c>
      <c r="RNT71" s="137" t="n">
        <v>218.95</v>
      </c>
      <c r="RNU71" s="30" t="n"/>
      <c r="RNV71" s="451" t="n"/>
      <c r="RNW71" s="34" t="n"/>
      <c r="RNX71" s="30" t="n"/>
      <c r="RNY71" s="138">
        <f>+RNU71-RNW71-RNY71</f>
        <v/>
      </c>
      <c r="RNZ71" s="533" t="n"/>
      <c r="ROA71" s="515" t="inlineStr">
        <is>
          <t>SEGUROS</t>
        </is>
      </c>
      <c r="ROB71" s="534" t="inlineStr">
        <is>
          <t>RIMAC SEGUROS</t>
        </is>
      </c>
      <c r="ROC71" s="447" t="n"/>
      <c r="ROD71" s="529" t="n">
        <v>1086478942</v>
      </c>
      <c r="ROE71" s="518" t="n"/>
      <c r="ROF71" s="519" t="n"/>
      <c r="ROG71" s="519" t="n">
        <v>45341</v>
      </c>
      <c r="ROJ71" s="137" t="n">
        <v>218.95</v>
      </c>
      <c r="ROK71" s="30" t="n"/>
      <c r="ROL71" s="451" t="n"/>
      <c r="ROM71" s="34" t="n"/>
      <c r="RON71" s="30" t="n"/>
      <c r="ROO71" s="138">
        <f>+ROK71-ROM71-ROO71</f>
        <v/>
      </c>
      <c r="ROP71" s="533" t="n"/>
      <c r="ROQ71" s="515" t="inlineStr">
        <is>
          <t>SEGUROS</t>
        </is>
      </c>
      <c r="ROR71" s="534" t="inlineStr">
        <is>
          <t>RIMAC SEGUROS</t>
        </is>
      </c>
      <c r="ROS71" s="447" t="n"/>
      <c r="ROT71" s="529" t="n">
        <v>1086478942</v>
      </c>
      <c r="ROU71" s="518" t="n"/>
      <c r="ROV71" s="519" t="n"/>
      <c r="ROW71" s="519" t="n">
        <v>45341</v>
      </c>
      <c r="ROZ71" s="137" t="n">
        <v>218.95</v>
      </c>
      <c r="RPA71" s="30" t="n"/>
      <c r="RPB71" s="451" t="n"/>
      <c r="RPC71" s="34" t="n"/>
      <c r="RPD71" s="30" t="n"/>
      <c r="RPE71" s="138">
        <f>+RPA71-RPC71-RPE71</f>
        <v/>
      </c>
      <c r="RPF71" s="533" t="n"/>
      <c r="RPG71" s="515" t="inlineStr">
        <is>
          <t>SEGUROS</t>
        </is>
      </c>
      <c r="RPH71" s="534" t="inlineStr">
        <is>
          <t>RIMAC SEGUROS</t>
        </is>
      </c>
      <c r="RPI71" s="447" t="n"/>
      <c r="RPJ71" s="529" t="n">
        <v>1086478942</v>
      </c>
      <c r="RPK71" s="518" t="n"/>
      <c r="RPL71" s="519" t="n"/>
      <c r="RPM71" s="519" t="n">
        <v>45341</v>
      </c>
      <c r="RPP71" s="137" t="n">
        <v>218.95</v>
      </c>
      <c r="RPQ71" s="30" t="n"/>
      <c r="RPR71" s="451" t="n"/>
      <c r="RPS71" s="34" t="n"/>
      <c r="RPT71" s="30" t="n"/>
      <c r="RPU71" s="138">
        <f>+RPQ71-RPS71-RPU71</f>
        <v/>
      </c>
      <c r="RPV71" s="533" t="n"/>
      <c r="RPW71" s="515" t="inlineStr">
        <is>
          <t>SEGUROS</t>
        </is>
      </c>
      <c r="RPX71" s="534" t="inlineStr">
        <is>
          <t>RIMAC SEGUROS</t>
        </is>
      </c>
      <c r="RPY71" s="447" t="n"/>
      <c r="RPZ71" s="529" t="n">
        <v>1086478942</v>
      </c>
      <c r="RQA71" s="518" t="n"/>
      <c r="RQB71" s="519" t="n"/>
      <c r="RQC71" s="519" t="n">
        <v>45341</v>
      </c>
      <c r="RQF71" s="137" t="n">
        <v>218.95</v>
      </c>
      <c r="RQG71" s="30" t="n"/>
      <c r="RQH71" s="451" t="n"/>
      <c r="RQI71" s="34" t="n"/>
      <c r="RQJ71" s="30" t="n"/>
      <c r="RQK71" s="138">
        <f>+RQG71-RQI71-RQK71</f>
        <v/>
      </c>
      <c r="RQL71" s="533" t="n"/>
      <c r="RQM71" s="515" t="inlineStr">
        <is>
          <t>SEGUROS</t>
        </is>
      </c>
      <c r="RQN71" s="534" t="inlineStr">
        <is>
          <t>RIMAC SEGUROS</t>
        </is>
      </c>
      <c r="RQO71" s="447" t="n"/>
      <c r="RQP71" s="529" t="n">
        <v>1086478942</v>
      </c>
      <c r="RQQ71" s="518" t="n"/>
      <c r="RQR71" s="519" t="n"/>
      <c r="RQS71" s="519" t="n">
        <v>45341</v>
      </c>
      <c r="RQV71" s="137" t="n">
        <v>218.95</v>
      </c>
      <c r="RQW71" s="30" t="n"/>
      <c r="RQX71" s="451" t="n"/>
      <c r="RQY71" s="34" t="n"/>
      <c r="RQZ71" s="30" t="n"/>
      <c r="RRA71" s="138">
        <f>+RQW71-RQY71-RRA71</f>
        <v/>
      </c>
      <c r="RRB71" s="533" t="n"/>
      <c r="RRC71" s="515" t="inlineStr">
        <is>
          <t>SEGUROS</t>
        </is>
      </c>
      <c r="RRD71" s="534" t="inlineStr">
        <is>
          <t>RIMAC SEGUROS</t>
        </is>
      </c>
      <c r="RRE71" s="447" t="n"/>
      <c r="RRF71" s="529" t="n">
        <v>1086478942</v>
      </c>
      <c r="RRG71" s="518" t="n"/>
      <c r="RRH71" s="519" t="n"/>
      <c r="RRI71" s="519" t="n">
        <v>45341</v>
      </c>
      <c r="RRL71" s="137" t="n">
        <v>218.95</v>
      </c>
      <c r="RRM71" s="30" t="n"/>
      <c r="RRN71" s="451" t="n"/>
      <c r="RRO71" s="34" t="n"/>
      <c r="RRP71" s="30" t="n"/>
      <c r="RRQ71" s="138">
        <f>+RRM71-RRO71-RRQ71</f>
        <v/>
      </c>
      <c r="RRR71" s="533" t="n"/>
      <c r="RRS71" s="515" t="inlineStr">
        <is>
          <t>SEGUROS</t>
        </is>
      </c>
      <c r="RRT71" s="534" t="inlineStr">
        <is>
          <t>RIMAC SEGUROS</t>
        </is>
      </c>
      <c r="RRU71" s="447" t="n"/>
      <c r="RRV71" s="529" t="n">
        <v>1086478942</v>
      </c>
      <c r="RRW71" s="518" t="n"/>
      <c r="RRX71" s="519" t="n"/>
      <c r="RRY71" s="519" t="n">
        <v>45341</v>
      </c>
      <c r="RSB71" s="137" t="n">
        <v>218.95</v>
      </c>
      <c r="RSC71" s="30" t="n"/>
      <c r="RSD71" s="451" t="n"/>
      <c r="RSE71" s="34" t="n"/>
      <c r="RSF71" s="30" t="n"/>
      <c r="RSG71" s="138">
        <f>+RSC71-RSE71-RSG71</f>
        <v/>
      </c>
      <c r="RSH71" s="533" t="n"/>
      <c r="RSI71" s="515" t="inlineStr">
        <is>
          <t>SEGUROS</t>
        </is>
      </c>
      <c r="RSJ71" s="534" t="inlineStr">
        <is>
          <t>RIMAC SEGUROS</t>
        </is>
      </c>
      <c r="RSK71" s="447" t="n"/>
      <c r="RSL71" s="529" t="n">
        <v>1086478942</v>
      </c>
      <c r="RSM71" s="518" t="n"/>
      <c r="RSN71" s="519" t="n"/>
      <c r="RSO71" s="519" t="n">
        <v>45341</v>
      </c>
      <c r="RSR71" s="137" t="n">
        <v>218.95</v>
      </c>
      <c r="RSS71" s="30" t="n"/>
      <c r="RST71" s="451" t="n"/>
      <c r="RSU71" s="34" t="n"/>
      <c r="RSV71" s="30" t="n"/>
      <c r="RSW71" s="138">
        <f>+RSS71-RSU71-RSW71</f>
        <v/>
      </c>
      <c r="RSX71" s="533" t="n"/>
      <c r="RSY71" s="515" t="inlineStr">
        <is>
          <t>SEGUROS</t>
        </is>
      </c>
      <c r="RSZ71" s="534" t="inlineStr">
        <is>
          <t>RIMAC SEGUROS</t>
        </is>
      </c>
      <c r="RTA71" s="447" t="n"/>
      <c r="RTB71" s="529" t="n">
        <v>1086478942</v>
      </c>
      <c r="RTC71" s="518" t="n"/>
      <c r="RTD71" s="519" t="n"/>
      <c r="RTE71" s="519" t="n">
        <v>45341</v>
      </c>
      <c r="RTH71" s="137" t="n">
        <v>218.95</v>
      </c>
      <c r="RTI71" s="30" t="n"/>
      <c r="RTJ71" s="451" t="n"/>
      <c r="RTK71" s="34" t="n"/>
      <c r="RTL71" s="30" t="n"/>
      <c r="RTM71" s="138">
        <f>+RTI71-RTK71-RTM71</f>
        <v/>
      </c>
      <c r="RTN71" s="533" t="n"/>
      <c r="RTO71" s="515" t="inlineStr">
        <is>
          <t>SEGUROS</t>
        </is>
      </c>
      <c r="RTP71" s="534" t="inlineStr">
        <is>
          <t>RIMAC SEGUROS</t>
        </is>
      </c>
      <c r="RTQ71" s="447" t="n"/>
      <c r="RTR71" s="529" t="n">
        <v>1086478942</v>
      </c>
      <c r="RTS71" s="518" t="n"/>
      <c r="RTT71" s="519" t="n"/>
      <c r="RTU71" s="519" t="n">
        <v>45341</v>
      </c>
      <c r="RTX71" s="137" t="n">
        <v>218.95</v>
      </c>
      <c r="RTY71" s="30" t="n"/>
      <c r="RTZ71" s="451" t="n"/>
      <c r="RUA71" s="34" t="n"/>
      <c r="RUB71" s="30" t="n"/>
      <c r="RUC71" s="138">
        <f>+RTY71-RUA71-RUC71</f>
        <v/>
      </c>
      <c r="RUD71" s="533" t="n"/>
      <c r="RUE71" s="515" t="inlineStr">
        <is>
          <t>SEGUROS</t>
        </is>
      </c>
      <c r="RUF71" s="534" t="inlineStr">
        <is>
          <t>RIMAC SEGUROS</t>
        </is>
      </c>
      <c r="RUG71" s="447" t="n"/>
      <c r="RUH71" s="529" t="n">
        <v>1086478942</v>
      </c>
      <c r="RUI71" s="518" t="n"/>
      <c r="RUJ71" s="519" t="n"/>
      <c r="RUK71" s="519" t="n">
        <v>45341</v>
      </c>
      <c r="RUN71" s="137" t="n">
        <v>218.95</v>
      </c>
      <c r="RUO71" s="30" t="n"/>
      <c r="RUP71" s="451" t="n"/>
      <c r="RUQ71" s="34" t="n"/>
      <c r="RUR71" s="30" t="n"/>
      <c r="RUS71" s="138">
        <f>+RUO71-RUQ71-RUS71</f>
        <v/>
      </c>
      <c r="RUT71" s="533" t="n"/>
      <c r="RUU71" s="515" t="inlineStr">
        <is>
          <t>SEGUROS</t>
        </is>
      </c>
      <c r="RUV71" s="534" t="inlineStr">
        <is>
          <t>RIMAC SEGUROS</t>
        </is>
      </c>
      <c r="RUW71" s="447" t="n"/>
      <c r="RUX71" s="529" t="n">
        <v>1086478942</v>
      </c>
      <c r="RUY71" s="518" t="n"/>
      <c r="RUZ71" s="519" t="n"/>
      <c r="RVA71" s="519" t="n">
        <v>45341</v>
      </c>
      <c r="RVD71" s="137" t="n">
        <v>218.95</v>
      </c>
      <c r="RVE71" s="30" t="n"/>
      <c r="RVF71" s="451" t="n"/>
      <c r="RVG71" s="34" t="n"/>
      <c r="RVH71" s="30" t="n"/>
      <c r="RVI71" s="138">
        <f>+RVE71-RVG71-RVI71</f>
        <v/>
      </c>
      <c r="RVJ71" s="533" t="n"/>
      <c r="RVK71" s="515" t="inlineStr">
        <is>
          <t>SEGUROS</t>
        </is>
      </c>
      <c r="RVL71" s="534" t="inlineStr">
        <is>
          <t>RIMAC SEGUROS</t>
        </is>
      </c>
      <c r="RVM71" s="447" t="n"/>
      <c r="RVN71" s="529" t="n">
        <v>1086478942</v>
      </c>
      <c r="RVO71" s="518" t="n"/>
      <c r="RVP71" s="519" t="n"/>
      <c r="RVQ71" s="519" t="n">
        <v>45341</v>
      </c>
      <c r="RVT71" s="137" t="n">
        <v>218.95</v>
      </c>
      <c r="RVU71" s="30" t="n"/>
      <c r="RVV71" s="451" t="n"/>
      <c r="RVW71" s="34" t="n"/>
      <c r="RVX71" s="30" t="n"/>
      <c r="RVY71" s="138">
        <f>+RVU71-RVW71-RVY71</f>
        <v/>
      </c>
      <c r="RVZ71" s="533" t="n"/>
      <c r="RWA71" s="515" t="inlineStr">
        <is>
          <t>SEGUROS</t>
        </is>
      </c>
      <c r="RWB71" s="534" t="inlineStr">
        <is>
          <t>RIMAC SEGUROS</t>
        </is>
      </c>
      <c r="RWC71" s="447" t="n"/>
      <c r="RWD71" s="529" t="n">
        <v>1086478942</v>
      </c>
      <c r="RWE71" s="518" t="n"/>
      <c r="RWF71" s="519" t="n"/>
      <c r="RWG71" s="519" t="n">
        <v>45341</v>
      </c>
      <c r="RWJ71" s="137" t="n">
        <v>218.95</v>
      </c>
      <c r="RWK71" s="30" t="n"/>
      <c r="RWL71" s="451" t="n"/>
      <c r="RWM71" s="34" t="n"/>
      <c r="RWN71" s="30" t="n"/>
      <c r="RWO71" s="138">
        <f>+RWK71-RWM71-RWO71</f>
        <v/>
      </c>
      <c r="RWP71" s="533" t="n"/>
      <c r="RWQ71" s="515" t="inlineStr">
        <is>
          <t>SEGUROS</t>
        </is>
      </c>
      <c r="RWR71" s="534" t="inlineStr">
        <is>
          <t>RIMAC SEGUROS</t>
        </is>
      </c>
      <c r="RWS71" s="447" t="n"/>
      <c r="RWT71" s="529" t="n">
        <v>1086478942</v>
      </c>
      <c r="RWU71" s="518" t="n"/>
      <c r="RWV71" s="519" t="n"/>
      <c r="RWW71" s="519" t="n">
        <v>45341</v>
      </c>
      <c r="RWZ71" s="137" t="n">
        <v>218.95</v>
      </c>
      <c r="RXA71" s="30" t="n"/>
      <c r="RXB71" s="451" t="n"/>
      <c r="RXC71" s="34" t="n"/>
      <c r="RXD71" s="30" t="n"/>
      <c r="RXE71" s="138">
        <f>+RXA71-RXC71-RXE71</f>
        <v/>
      </c>
      <c r="RXF71" s="533" t="n"/>
      <c r="RXG71" s="515" t="inlineStr">
        <is>
          <t>SEGUROS</t>
        </is>
      </c>
      <c r="RXH71" s="534" t="inlineStr">
        <is>
          <t>RIMAC SEGUROS</t>
        </is>
      </c>
      <c r="RXI71" s="447" t="n"/>
      <c r="RXJ71" s="529" t="n">
        <v>1086478942</v>
      </c>
      <c r="RXK71" s="518" t="n"/>
      <c r="RXL71" s="519" t="n"/>
      <c r="RXM71" s="519" t="n">
        <v>45341</v>
      </c>
      <c r="RXP71" s="137" t="n">
        <v>218.95</v>
      </c>
      <c r="RXQ71" s="30" t="n"/>
      <c r="RXR71" s="451" t="n"/>
      <c r="RXS71" s="34" t="n"/>
      <c r="RXT71" s="30" t="n"/>
      <c r="RXU71" s="138">
        <f>+RXQ71-RXS71-RXU71</f>
        <v/>
      </c>
      <c r="RXV71" s="533" t="n"/>
      <c r="RXW71" s="515" t="inlineStr">
        <is>
          <t>SEGUROS</t>
        </is>
      </c>
      <c r="RXX71" s="534" t="inlineStr">
        <is>
          <t>RIMAC SEGUROS</t>
        </is>
      </c>
      <c r="RXY71" s="447" t="n"/>
      <c r="RXZ71" s="529" t="n">
        <v>1086478942</v>
      </c>
      <c r="RYA71" s="518" t="n"/>
      <c r="RYB71" s="519" t="n"/>
      <c r="RYC71" s="519" t="n">
        <v>45341</v>
      </c>
      <c r="RYF71" s="137" t="n">
        <v>218.95</v>
      </c>
      <c r="RYG71" s="30" t="n"/>
      <c r="RYH71" s="451" t="n"/>
      <c r="RYI71" s="34" t="n"/>
      <c r="RYJ71" s="30" t="n"/>
      <c r="RYK71" s="138">
        <f>+RYG71-RYI71-RYK71</f>
        <v/>
      </c>
      <c r="RYL71" s="533" t="n"/>
      <c r="RYM71" s="515" t="inlineStr">
        <is>
          <t>SEGUROS</t>
        </is>
      </c>
      <c r="RYN71" s="534" t="inlineStr">
        <is>
          <t>RIMAC SEGUROS</t>
        </is>
      </c>
      <c r="RYO71" s="447" t="n"/>
      <c r="RYP71" s="529" t="n">
        <v>1086478942</v>
      </c>
      <c r="RYQ71" s="518" t="n"/>
      <c r="RYR71" s="519" t="n"/>
      <c r="RYS71" s="519" t="n">
        <v>45341</v>
      </c>
      <c r="RYV71" s="137" t="n">
        <v>218.95</v>
      </c>
      <c r="RYW71" s="30" t="n"/>
      <c r="RYX71" s="451" t="n"/>
      <c r="RYY71" s="34" t="n"/>
      <c r="RYZ71" s="30" t="n"/>
      <c r="RZA71" s="138">
        <f>+RYW71-RYY71-RZA71</f>
        <v/>
      </c>
      <c r="RZB71" s="533" t="n"/>
      <c r="RZC71" s="515" t="inlineStr">
        <is>
          <t>SEGUROS</t>
        </is>
      </c>
      <c r="RZD71" s="534" t="inlineStr">
        <is>
          <t>RIMAC SEGUROS</t>
        </is>
      </c>
      <c r="RZE71" s="447" t="n"/>
      <c r="RZF71" s="529" t="n">
        <v>1086478942</v>
      </c>
      <c r="RZG71" s="518" t="n"/>
      <c r="RZH71" s="519" t="n"/>
      <c r="RZI71" s="519" t="n">
        <v>45341</v>
      </c>
      <c r="RZL71" s="137" t="n">
        <v>218.95</v>
      </c>
      <c r="RZM71" s="30" t="n"/>
      <c r="RZN71" s="451" t="n"/>
      <c r="RZO71" s="34" t="n"/>
      <c r="RZP71" s="30" t="n"/>
      <c r="RZQ71" s="138">
        <f>+RZM71-RZO71-RZQ71</f>
        <v/>
      </c>
      <c r="RZR71" s="533" t="n"/>
      <c r="RZS71" s="515" t="inlineStr">
        <is>
          <t>SEGUROS</t>
        </is>
      </c>
      <c r="RZT71" s="534" t="inlineStr">
        <is>
          <t>RIMAC SEGUROS</t>
        </is>
      </c>
      <c r="RZU71" s="447" t="n"/>
      <c r="RZV71" s="529" t="n">
        <v>1086478942</v>
      </c>
      <c r="RZW71" s="518" t="n"/>
      <c r="RZX71" s="519" t="n"/>
      <c r="RZY71" s="519" t="n">
        <v>45341</v>
      </c>
      <c r="SAB71" s="137" t="n">
        <v>218.95</v>
      </c>
      <c r="SAC71" s="30" t="n"/>
      <c r="SAD71" s="451" t="n"/>
      <c r="SAE71" s="34" t="n"/>
      <c r="SAF71" s="30" t="n"/>
      <c r="SAG71" s="138">
        <f>+SAC71-SAE71-SAG71</f>
        <v/>
      </c>
      <c r="SAH71" s="533" t="n"/>
      <c r="SAI71" s="515" t="inlineStr">
        <is>
          <t>SEGUROS</t>
        </is>
      </c>
      <c r="SAJ71" s="534" t="inlineStr">
        <is>
          <t>RIMAC SEGUROS</t>
        </is>
      </c>
      <c r="SAK71" s="447" t="n"/>
      <c r="SAL71" s="529" t="n">
        <v>1086478942</v>
      </c>
      <c r="SAM71" s="518" t="n"/>
      <c r="SAN71" s="519" t="n"/>
      <c r="SAO71" s="519" t="n">
        <v>45341</v>
      </c>
      <c r="SAR71" s="137" t="n">
        <v>218.95</v>
      </c>
      <c r="SAS71" s="30" t="n"/>
      <c r="SAT71" s="451" t="n"/>
      <c r="SAU71" s="34" t="n"/>
      <c r="SAV71" s="30" t="n"/>
      <c r="SAW71" s="138">
        <f>+SAS71-SAU71-SAW71</f>
        <v/>
      </c>
      <c r="SAX71" s="533" t="n"/>
      <c r="SAY71" s="515" t="inlineStr">
        <is>
          <t>SEGUROS</t>
        </is>
      </c>
      <c r="SAZ71" s="534" t="inlineStr">
        <is>
          <t>RIMAC SEGUROS</t>
        </is>
      </c>
      <c r="SBA71" s="447" t="n"/>
      <c r="SBB71" s="529" t="n">
        <v>1086478942</v>
      </c>
      <c r="SBC71" s="518" t="n"/>
      <c r="SBD71" s="519" t="n"/>
      <c r="SBE71" s="519" t="n">
        <v>45341</v>
      </c>
      <c r="SBH71" s="137" t="n">
        <v>218.95</v>
      </c>
      <c r="SBI71" s="30" t="n"/>
      <c r="SBJ71" s="451" t="n"/>
      <c r="SBK71" s="34" t="n"/>
      <c r="SBL71" s="30" t="n"/>
      <c r="SBM71" s="138">
        <f>+SBI71-SBK71-SBM71</f>
        <v/>
      </c>
      <c r="SBN71" s="533" t="n"/>
      <c r="SBO71" s="515" t="inlineStr">
        <is>
          <t>SEGUROS</t>
        </is>
      </c>
      <c r="SBP71" s="534" t="inlineStr">
        <is>
          <t>RIMAC SEGUROS</t>
        </is>
      </c>
      <c r="SBQ71" s="447" t="n"/>
      <c r="SBR71" s="529" t="n">
        <v>1086478942</v>
      </c>
      <c r="SBS71" s="518" t="n"/>
      <c r="SBT71" s="519" t="n"/>
      <c r="SBU71" s="519" t="n">
        <v>45341</v>
      </c>
      <c r="SBX71" s="137" t="n">
        <v>218.95</v>
      </c>
      <c r="SBY71" s="30" t="n"/>
      <c r="SBZ71" s="451" t="n"/>
      <c r="SCA71" s="34" t="n"/>
      <c r="SCB71" s="30" t="n"/>
      <c r="SCC71" s="138">
        <f>+SBY71-SCA71-SCC71</f>
        <v/>
      </c>
      <c r="SCD71" s="533" t="n"/>
      <c r="SCE71" s="515" t="inlineStr">
        <is>
          <t>SEGUROS</t>
        </is>
      </c>
      <c r="SCF71" s="534" t="inlineStr">
        <is>
          <t>RIMAC SEGUROS</t>
        </is>
      </c>
      <c r="SCG71" s="447" t="n"/>
      <c r="SCH71" s="529" t="n">
        <v>1086478942</v>
      </c>
      <c r="SCI71" s="518" t="n"/>
      <c r="SCJ71" s="519" t="n"/>
      <c r="SCK71" s="519" t="n">
        <v>45341</v>
      </c>
      <c r="SCN71" s="137" t="n">
        <v>218.95</v>
      </c>
      <c r="SCO71" s="30" t="n"/>
      <c r="SCP71" s="451" t="n"/>
      <c r="SCQ71" s="34" t="n"/>
      <c r="SCR71" s="30" t="n"/>
      <c r="SCS71" s="138">
        <f>+SCO71-SCQ71-SCS71</f>
        <v/>
      </c>
      <c r="SCT71" s="533" t="n"/>
      <c r="SCU71" s="515" t="inlineStr">
        <is>
          <t>SEGUROS</t>
        </is>
      </c>
      <c r="SCV71" s="534" t="inlineStr">
        <is>
          <t>RIMAC SEGUROS</t>
        </is>
      </c>
      <c r="SCW71" s="447" t="n"/>
      <c r="SCX71" s="529" t="n">
        <v>1086478942</v>
      </c>
      <c r="SCY71" s="518" t="n"/>
      <c r="SCZ71" s="519" t="n"/>
      <c r="SDA71" s="519" t="n">
        <v>45341</v>
      </c>
      <c r="SDD71" s="137" t="n">
        <v>218.95</v>
      </c>
      <c r="SDE71" s="30" t="n"/>
      <c r="SDF71" s="451" t="n"/>
      <c r="SDG71" s="34" t="n"/>
      <c r="SDH71" s="30" t="n"/>
      <c r="SDI71" s="138">
        <f>+SDE71-SDG71-SDI71</f>
        <v/>
      </c>
      <c r="SDJ71" s="533" t="n"/>
      <c r="SDK71" s="515" t="inlineStr">
        <is>
          <t>SEGUROS</t>
        </is>
      </c>
      <c r="SDL71" s="534" t="inlineStr">
        <is>
          <t>RIMAC SEGUROS</t>
        </is>
      </c>
      <c r="SDM71" s="447" t="n"/>
      <c r="SDN71" s="529" t="n">
        <v>1086478942</v>
      </c>
      <c r="SDO71" s="518" t="n"/>
      <c r="SDP71" s="519" t="n"/>
      <c r="SDQ71" s="519" t="n">
        <v>45341</v>
      </c>
      <c r="SDT71" s="137" t="n">
        <v>218.95</v>
      </c>
      <c r="SDU71" s="30" t="n"/>
      <c r="SDV71" s="451" t="n"/>
      <c r="SDW71" s="34" t="n"/>
      <c r="SDX71" s="30" t="n"/>
      <c r="SDY71" s="138">
        <f>+SDU71-SDW71-SDY71</f>
        <v/>
      </c>
      <c r="SDZ71" s="533" t="n"/>
      <c r="SEA71" s="515" t="inlineStr">
        <is>
          <t>SEGUROS</t>
        </is>
      </c>
      <c r="SEB71" s="534" t="inlineStr">
        <is>
          <t>RIMAC SEGUROS</t>
        </is>
      </c>
      <c r="SEC71" s="447" t="n"/>
      <c r="SED71" s="529" t="n">
        <v>1086478942</v>
      </c>
      <c r="SEE71" s="518" t="n"/>
      <c r="SEF71" s="519" t="n"/>
      <c r="SEG71" s="519" t="n">
        <v>45341</v>
      </c>
      <c r="SEJ71" s="137" t="n">
        <v>218.95</v>
      </c>
      <c r="SEK71" s="30" t="n"/>
      <c r="SEL71" s="451" t="n"/>
      <c r="SEM71" s="34" t="n"/>
      <c r="SEN71" s="30" t="n"/>
      <c r="SEO71" s="138">
        <f>+SEK71-SEM71-SEO71</f>
        <v/>
      </c>
      <c r="SEP71" s="533" t="n"/>
      <c r="SEQ71" s="515" t="inlineStr">
        <is>
          <t>SEGUROS</t>
        </is>
      </c>
      <c r="SER71" s="534" t="inlineStr">
        <is>
          <t>RIMAC SEGUROS</t>
        </is>
      </c>
      <c r="SES71" s="447" t="n"/>
      <c r="SET71" s="529" t="n">
        <v>1086478942</v>
      </c>
      <c r="SEU71" s="518" t="n"/>
      <c r="SEV71" s="519" t="n"/>
      <c r="SEW71" s="519" t="n">
        <v>45341</v>
      </c>
      <c r="SEZ71" s="137" t="n">
        <v>218.95</v>
      </c>
      <c r="SFA71" s="30" t="n"/>
      <c r="SFB71" s="451" t="n"/>
      <c r="SFC71" s="34" t="n"/>
      <c r="SFD71" s="30" t="n"/>
      <c r="SFE71" s="138">
        <f>+SFA71-SFC71-SFE71</f>
        <v/>
      </c>
      <c r="SFF71" s="533" t="n"/>
      <c r="SFG71" s="515" t="inlineStr">
        <is>
          <t>SEGUROS</t>
        </is>
      </c>
      <c r="SFH71" s="534" t="inlineStr">
        <is>
          <t>RIMAC SEGUROS</t>
        </is>
      </c>
      <c r="SFI71" s="447" t="n"/>
      <c r="SFJ71" s="529" t="n">
        <v>1086478942</v>
      </c>
      <c r="SFK71" s="518" t="n"/>
      <c r="SFL71" s="519" t="n"/>
      <c r="SFM71" s="519" t="n">
        <v>45341</v>
      </c>
      <c r="SFP71" s="137" t="n">
        <v>218.95</v>
      </c>
      <c r="SFQ71" s="30" t="n"/>
      <c r="SFR71" s="451" t="n"/>
      <c r="SFS71" s="34" t="n"/>
      <c r="SFT71" s="30" t="n"/>
      <c r="SFU71" s="138">
        <f>+SFQ71-SFS71-SFU71</f>
        <v/>
      </c>
      <c r="SFV71" s="533" t="n"/>
      <c r="SFW71" s="515" t="inlineStr">
        <is>
          <t>SEGUROS</t>
        </is>
      </c>
      <c r="SFX71" s="534" t="inlineStr">
        <is>
          <t>RIMAC SEGUROS</t>
        </is>
      </c>
      <c r="SFY71" s="447" t="n"/>
      <c r="SFZ71" s="529" t="n">
        <v>1086478942</v>
      </c>
      <c r="SGA71" s="518" t="n"/>
      <c r="SGB71" s="519" t="n"/>
      <c r="SGC71" s="519" t="n">
        <v>45341</v>
      </c>
      <c r="SGF71" s="137" t="n">
        <v>218.95</v>
      </c>
      <c r="SGG71" s="30" t="n"/>
      <c r="SGH71" s="451" t="n"/>
      <c r="SGI71" s="34" t="n"/>
      <c r="SGJ71" s="30" t="n"/>
      <c r="SGK71" s="138">
        <f>+SGG71-SGI71-SGK71</f>
        <v/>
      </c>
      <c r="SGL71" s="533" t="n"/>
      <c r="SGM71" s="515" t="inlineStr">
        <is>
          <t>SEGUROS</t>
        </is>
      </c>
      <c r="SGN71" s="534" t="inlineStr">
        <is>
          <t>RIMAC SEGUROS</t>
        </is>
      </c>
      <c r="SGO71" s="447" t="n"/>
      <c r="SGP71" s="529" t="n">
        <v>1086478942</v>
      </c>
      <c r="SGQ71" s="518" t="n"/>
      <c r="SGR71" s="519" t="n"/>
      <c r="SGS71" s="519" t="n">
        <v>45341</v>
      </c>
      <c r="SGV71" s="137" t="n">
        <v>218.95</v>
      </c>
      <c r="SGW71" s="30" t="n"/>
      <c r="SGX71" s="451" t="n"/>
      <c r="SGY71" s="34" t="n"/>
      <c r="SGZ71" s="30" t="n"/>
      <c r="SHA71" s="138">
        <f>+SGW71-SGY71-SHA71</f>
        <v/>
      </c>
      <c r="SHB71" s="533" t="n"/>
      <c r="SHC71" s="515" t="inlineStr">
        <is>
          <t>SEGUROS</t>
        </is>
      </c>
      <c r="SHD71" s="534" t="inlineStr">
        <is>
          <t>RIMAC SEGUROS</t>
        </is>
      </c>
      <c r="SHE71" s="447" t="n"/>
      <c r="SHF71" s="529" t="n">
        <v>1086478942</v>
      </c>
      <c r="SHG71" s="518" t="n"/>
      <c r="SHH71" s="519" t="n"/>
      <c r="SHI71" s="519" t="n">
        <v>45341</v>
      </c>
      <c r="SHL71" s="137" t="n">
        <v>218.95</v>
      </c>
      <c r="SHM71" s="30" t="n"/>
      <c r="SHN71" s="451" t="n"/>
      <c r="SHO71" s="34" t="n"/>
      <c r="SHP71" s="30" t="n"/>
      <c r="SHQ71" s="138">
        <f>+SHM71-SHO71-SHQ71</f>
        <v/>
      </c>
      <c r="SHR71" s="533" t="n"/>
      <c r="SHS71" s="515" t="inlineStr">
        <is>
          <t>SEGUROS</t>
        </is>
      </c>
      <c r="SHT71" s="534" t="inlineStr">
        <is>
          <t>RIMAC SEGUROS</t>
        </is>
      </c>
      <c r="SHU71" s="447" t="n"/>
      <c r="SHV71" s="529" t="n">
        <v>1086478942</v>
      </c>
      <c r="SHW71" s="518" t="n"/>
      <c r="SHX71" s="519" t="n"/>
      <c r="SHY71" s="519" t="n">
        <v>45341</v>
      </c>
      <c r="SIB71" s="137" t="n">
        <v>218.95</v>
      </c>
      <c r="SIC71" s="30" t="n"/>
      <c r="SID71" s="451" t="n"/>
      <c r="SIE71" s="34" t="n"/>
      <c r="SIF71" s="30" t="n"/>
      <c r="SIG71" s="138">
        <f>+SIC71-SIE71-SIG71</f>
        <v/>
      </c>
      <c r="SIH71" s="533" t="n"/>
      <c r="SII71" s="515" t="inlineStr">
        <is>
          <t>SEGUROS</t>
        </is>
      </c>
      <c r="SIJ71" s="534" t="inlineStr">
        <is>
          <t>RIMAC SEGUROS</t>
        </is>
      </c>
      <c r="SIK71" s="447" t="n"/>
      <c r="SIL71" s="529" t="n">
        <v>1086478942</v>
      </c>
      <c r="SIM71" s="518" t="n"/>
      <c r="SIN71" s="519" t="n"/>
      <c r="SIO71" s="519" t="n">
        <v>45341</v>
      </c>
      <c r="SIR71" s="137" t="n">
        <v>218.95</v>
      </c>
      <c r="SIS71" s="30" t="n"/>
      <c r="SIT71" s="451" t="n"/>
      <c r="SIU71" s="34" t="n"/>
      <c r="SIV71" s="30" t="n"/>
      <c r="SIW71" s="138">
        <f>+SIS71-SIU71-SIW71</f>
        <v/>
      </c>
      <c r="SIX71" s="533" t="n"/>
      <c r="SIY71" s="515" t="inlineStr">
        <is>
          <t>SEGUROS</t>
        </is>
      </c>
      <c r="SIZ71" s="534" t="inlineStr">
        <is>
          <t>RIMAC SEGUROS</t>
        </is>
      </c>
      <c r="SJA71" s="447" t="n"/>
      <c r="SJB71" s="529" t="n">
        <v>1086478942</v>
      </c>
      <c r="SJC71" s="518" t="n"/>
      <c r="SJD71" s="519" t="n"/>
      <c r="SJE71" s="519" t="n">
        <v>45341</v>
      </c>
      <c r="SJH71" s="137" t="n">
        <v>218.95</v>
      </c>
      <c r="SJI71" s="30" t="n"/>
      <c r="SJJ71" s="451" t="n"/>
      <c r="SJK71" s="34" t="n"/>
      <c r="SJL71" s="30" t="n"/>
      <c r="SJM71" s="138">
        <f>+SJI71-SJK71-SJM71</f>
        <v/>
      </c>
      <c r="SJN71" s="533" t="n"/>
      <c r="SJO71" s="515" t="inlineStr">
        <is>
          <t>SEGUROS</t>
        </is>
      </c>
      <c r="SJP71" s="534" t="inlineStr">
        <is>
          <t>RIMAC SEGUROS</t>
        </is>
      </c>
      <c r="SJQ71" s="447" t="n"/>
      <c r="SJR71" s="529" t="n">
        <v>1086478942</v>
      </c>
      <c r="SJS71" s="518" t="n"/>
      <c r="SJT71" s="519" t="n"/>
      <c r="SJU71" s="519" t="n">
        <v>45341</v>
      </c>
      <c r="SJX71" s="137" t="n">
        <v>218.95</v>
      </c>
      <c r="SJY71" s="30" t="n"/>
      <c r="SJZ71" s="451" t="n"/>
      <c r="SKA71" s="34" t="n"/>
      <c r="SKB71" s="30" t="n"/>
      <c r="SKC71" s="138">
        <f>+SJY71-SKA71-SKC71</f>
        <v/>
      </c>
      <c r="SKD71" s="533" t="n"/>
      <c r="SKE71" s="515" t="inlineStr">
        <is>
          <t>SEGUROS</t>
        </is>
      </c>
      <c r="SKF71" s="534" t="inlineStr">
        <is>
          <t>RIMAC SEGUROS</t>
        </is>
      </c>
      <c r="SKG71" s="447" t="n"/>
      <c r="SKH71" s="529" t="n">
        <v>1086478942</v>
      </c>
      <c r="SKI71" s="518" t="n"/>
      <c r="SKJ71" s="519" t="n"/>
      <c r="SKK71" s="519" t="n">
        <v>45341</v>
      </c>
      <c r="SKN71" s="137" t="n">
        <v>218.95</v>
      </c>
      <c r="SKO71" s="30" t="n"/>
      <c r="SKP71" s="451" t="n"/>
      <c r="SKQ71" s="34" t="n"/>
      <c r="SKR71" s="30" t="n"/>
      <c r="SKS71" s="138">
        <f>+SKO71-SKQ71-SKS71</f>
        <v/>
      </c>
      <c r="SKT71" s="533" t="n"/>
      <c r="SKU71" s="515" t="inlineStr">
        <is>
          <t>SEGUROS</t>
        </is>
      </c>
      <c r="SKV71" s="534" t="inlineStr">
        <is>
          <t>RIMAC SEGUROS</t>
        </is>
      </c>
      <c r="SKW71" s="447" t="n"/>
      <c r="SKX71" s="529" t="n">
        <v>1086478942</v>
      </c>
      <c r="SKY71" s="518" t="n"/>
      <c r="SKZ71" s="519" t="n"/>
      <c r="SLA71" s="519" t="n">
        <v>45341</v>
      </c>
      <c r="SLD71" s="137" t="n">
        <v>218.95</v>
      </c>
      <c r="SLE71" s="30" t="n"/>
      <c r="SLF71" s="451" t="n"/>
      <c r="SLG71" s="34" t="n"/>
      <c r="SLH71" s="30" t="n"/>
      <c r="SLI71" s="138">
        <f>+SLE71-SLG71-SLI71</f>
        <v/>
      </c>
      <c r="SLJ71" s="533" t="n"/>
      <c r="SLK71" s="515" t="inlineStr">
        <is>
          <t>SEGUROS</t>
        </is>
      </c>
      <c r="SLL71" s="534" t="inlineStr">
        <is>
          <t>RIMAC SEGUROS</t>
        </is>
      </c>
      <c r="SLM71" s="447" t="n"/>
      <c r="SLN71" s="529" t="n">
        <v>1086478942</v>
      </c>
      <c r="SLO71" s="518" t="n"/>
      <c r="SLP71" s="519" t="n"/>
      <c r="SLQ71" s="519" t="n">
        <v>45341</v>
      </c>
      <c r="SLT71" s="137" t="n">
        <v>218.95</v>
      </c>
      <c r="SLU71" s="30" t="n"/>
      <c r="SLV71" s="451" t="n"/>
      <c r="SLW71" s="34" t="n"/>
      <c r="SLX71" s="30" t="n"/>
      <c r="SLY71" s="138">
        <f>+SLU71-SLW71-SLY71</f>
        <v/>
      </c>
      <c r="SLZ71" s="533" t="n"/>
      <c r="SMA71" s="515" t="inlineStr">
        <is>
          <t>SEGUROS</t>
        </is>
      </c>
      <c r="SMB71" s="534" t="inlineStr">
        <is>
          <t>RIMAC SEGUROS</t>
        </is>
      </c>
      <c r="SMC71" s="447" t="n"/>
      <c r="SMD71" s="529" t="n">
        <v>1086478942</v>
      </c>
      <c r="SME71" s="518" t="n"/>
      <c r="SMF71" s="519" t="n"/>
      <c r="SMG71" s="519" t="n">
        <v>45341</v>
      </c>
      <c r="SMJ71" s="137" t="n">
        <v>218.95</v>
      </c>
      <c r="SMK71" s="30" t="n"/>
      <c r="SML71" s="451" t="n"/>
      <c r="SMM71" s="34" t="n"/>
      <c r="SMN71" s="30" t="n"/>
      <c r="SMO71" s="138">
        <f>+SMK71-SMM71-SMO71</f>
        <v/>
      </c>
      <c r="SMP71" s="533" t="n"/>
      <c r="SMQ71" s="515" t="inlineStr">
        <is>
          <t>SEGUROS</t>
        </is>
      </c>
      <c r="SMR71" s="534" t="inlineStr">
        <is>
          <t>RIMAC SEGUROS</t>
        </is>
      </c>
      <c r="SMS71" s="447" t="n"/>
      <c r="SMT71" s="529" t="n">
        <v>1086478942</v>
      </c>
      <c r="SMU71" s="518" t="n"/>
      <c r="SMV71" s="519" t="n"/>
      <c r="SMW71" s="519" t="n">
        <v>45341</v>
      </c>
      <c r="SMZ71" s="137" t="n">
        <v>218.95</v>
      </c>
      <c r="SNA71" s="30" t="n"/>
      <c r="SNB71" s="451" t="n"/>
      <c r="SNC71" s="34" t="n"/>
      <c r="SND71" s="30" t="n"/>
      <c r="SNE71" s="138">
        <f>+SNA71-SNC71-SNE71</f>
        <v/>
      </c>
      <c r="SNF71" s="533" t="n"/>
      <c r="SNG71" s="515" t="inlineStr">
        <is>
          <t>SEGUROS</t>
        </is>
      </c>
      <c r="SNH71" s="534" t="inlineStr">
        <is>
          <t>RIMAC SEGUROS</t>
        </is>
      </c>
      <c r="SNI71" s="447" t="n"/>
      <c r="SNJ71" s="529" t="n">
        <v>1086478942</v>
      </c>
      <c r="SNK71" s="518" t="n"/>
      <c r="SNL71" s="519" t="n"/>
      <c r="SNM71" s="519" t="n">
        <v>45341</v>
      </c>
      <c r="SNP71" s="137" t="n">
        <v>218.95</v>
      </c>
      <c r="SNQ71" s="30" t="n"/>
      <c r="SNR71" s="451" t="n"/>
      <c r="SNS71" s="34" t="n"/>
      <c r="SNT71" s="30" t="n"/>
      <c r="SNU71" s="138">
        <f>+SNQ71-SNS71-SNU71</f>
        <v/>
      </c>
      <c r="SNV71" s="533" t="n"/>
      <c r="SNW71" s="515" t="inlineStr">
        <is>
          <t>SEGUROS</t>
        </is>
      </c>
      <c r="SNX71" s="534" t="inlineStr">
        <is>
          <t>RIMAC SEGUROS</t>
        </is>
      </c>
      <c r="SNY71" s="447" t="n"/>
      <c r="SNZ71" s="529" t="n">
        <v>1086478942</v>
      </c>
      <c r="SOA71" s="518" t="n"/>
      <c r="SOB71" s="519" t="n"/>
      <c r="SOC71" s="519" t="n">
        <v>45341</v>
      </c>
      <c r="SOF71" s="137" t="n">
        <v>218.95</v>
      </c>
      <c r="SOG71" s="30" t="n"/>
      <c r="SOH71" s="451" t="n"/>
      <c r="SOI71" s="34" t="n"/>
      <c r="SOJ71" s="30" t="n"/>
      <c r="SOK71" s="138">
        <f>+SOG71-SOI71-SOK71</f>
        <v/>
      </c>
      <c r="SOL71" s="533" t="n"/>
      <c r="SOM71" s="515" t="inlineStr">
        <is>
          <t>SEGUROS</t>
        </is>
      </c>
      <c r="SON71" s="534" t="inlineStr">
        <is>
          <t>RIMAC SEGUROS</t>
        </is>
      </c>
      <c r="SOO71" s="447" t="n"/>
      <c r="SOP71" s="529" t="n">
        <v>1086478942</v>
      </c>
      <c r="SOQ71" s="518" t="n"/>
      <c r="SOR71" s="519" t="n"/>
      <c r="SOS71" s="519" t="n">
        <v>45341</v>
      </c>
      <c r="SOV71" s="137" t="n">
        <v>218.95</v>
      </c>
      <c r="SOW71" s="30" t="n"/>
      <c r="SOX71" s="451" t="n"/>
      <c r="SOY71" s="34" t="n"/>
      <c r="SOZ71" s="30" t="n"/>
      <c r="SPA71" s="138">
        <f>+SOW71-SOY71-SPA71</f>
        <v/>
      </c>
      <c r="SPB71" s="533" t="n"/>
      <c r="SPC71" s="515" t="inlineStr">
        <is>
          <t>SEGUROS</t>
        </is>
      </c>
      <c r="SPD71" s="534" t="inlineStr">
        <is>
          <t>RIMAC SEGUROS</t>
        </is>
      </c>
      <c r="SPE71" s="447" t="n"/>
      <c r="SPF71" s="529" t="n">
        <v>1086478942</v>
      </c>
      <c r="SPG71" s="518" t="n"/>
      <c r="SPH71" s="519" t="n"/>
      <c r="SPI71" s="519" t="n">
        <v>45341</v>
      </c>
      <c r="SPL71" s="137" t="n">
        <v>218.95</v>
      </c>
      <c r="SPM71" s="30" t="n"/>
      <c r="SPN71" s="451" t="n"/>
      <c r="SPO71" s="34" t="n"/>
      <c r="SPP71" s="30" t="n"/>
      <c r="SPQ71" s="138">
        <f>+SPM71-SPO71-SPQ71</f>
        <v/>
      </c>
      <c r="SPR71" s="533" t="n"/>
      <c r="SPS71" s="515" t="inlineStr">
        <is>
          <t>SEGUROS</t>
        </is>
      </c>
      <c r="SPT71" s="534" t="inlineStr">
        <is>
          <t>RIMAC SEGUROS</t>
        </is>
      </c>
      <c r="SPU71" s="447" t="n"/>
      <c r="SPV71" s="529" t="n">
        <v>1086478942</v>
      </c>
      <c r="SPW71" s="518" t="n"/>
      <c r="SPX71" s="519" t="n"/>
      <c r="SPY71" s="519" t="n">
        <v>45341</v>
      </c>
      <c r="SQB71" s="137" t="n">
        <v>218.95</v>
      </c>
      <c r="SQC71" s="30" t="n"/>
      <c r="SQD71" s="451" t="n"/>
      <c r="SQE71" s="34" t="n"/>
      <c r="SQF71" s="30" t="n"/>
      <c r="SQG71" s="138">
        <f>+SQC71-SQE71-SQG71</f>
        <v/>
      </c>
      <c r="SQH71" s="533" t="n"/>
      <c r="SQI71" s="515" t="inlineStr">
        <is>
          <t>SEGUROS</t>
        </is>
      </c>
      <c r="SQJ71" s="534" t="inlineStr">
        <is>
          <t>RIMAC SEGUROS</t>
        </is>
      </c>
      <c r="SQK71" s="447" t="n"/>
      <c r="SQL71" s="529" t="n">
        <v>1086478942</v>
      </c>
      <c r="SQM71" s="518" t="n"/>
      <c r="SQN71" s="519" t="n"/>
      <c r="SQO71" s="519" t="n">
        <v>45341</v>
      </c>
      <c r="SQR71" s="137" t="n">
        <v>218.95</v>
      </c>
      <c r="SQS71" s="30" t="n"/>
      <c r="SQT71" s="451" t="n"/>
      <c r="SQU71" s="34" t="n"/>
      <c r="SQV71" s="30" t="n"/>
      <c r="SQW71" s="138">
        <f>+SQS71-SQU71-SQW71</f>
        <v/>
      </c>
      <c r="SQX71" s="533" t="n"/>
      <c r="SQY71" s="515" t="inlineStr">
        <is>
          <t>SEGUROS</t>
        </is>
      </c>
      <c r="SQZ71" s="534" t="inlineStr">
        <is>
          <t>RIMAC SEGUROS</t>
        </is>
      </c>
      <c r="SRA71" s="447" t="n"/>
      <c r="SRB71" s="529" t="n">
        <v>1086478942</v>
      </c>
      <c r="SRC71" s="518" t="n"/>
      <c r="SRD71" s="519" t="n"/>
      <c r="SRE71" s="519" t="n">
        <v>45341</v>
      </c>
      <c r="SRH71" s="137" t="n">
        <v>218.95</v>
      </c>
      <c r="SRI71" s="30" t="n"/>
      <c r="SRJ71" s="451" t="n"/>
      <c r="SRK71" s="34" t="n"/>
      <c r="SRL71" s="30" t="n"/>
      <c r="SRM71" s="138">
        <f>+SRI71-SRK71-SRM71</f>
        <v/>
      </c>
      <c r="SRN71" s="533" t="n"/>
      <c r="SRO71" s="515" t="inlineStr">
        <is>
          <t>SEGUROS</t>
        </is>
      </c>
      <c r="SRP71" s="534" t="inlineStr">
        <is>
          <t>RIMAC SEGUROS</t>
        </is>
      </c>
      <c r="SRQ71" s="447" t="n"/>
      <c r="SRR71" s="529" t="n">
        <v>1086478942</v>
      </c>
      <c r="SRS71" s="518" t="n"/>
      <c r="SRT71" s="519" t="n"/>
      <c r="SRU71" s="519" t="n">
        <v>45341</v>
      </c>
      <c r="SRX71" s="137" t="n">
        <v>218.95</v>
      </c>
      <c r="SRY71" s="30" t="n"/>
      <c r="SRZ71" s="451" t="n"/>
      <c r="SSA71" s="34" t="n"/>
      <c r="SSB71" s="30" t="n"/>
      <c r="SSC71" s="138">
        <f>+SRY71-SSA71-SSC71</f>
        <v/>
      </c>
      <c r="SSD71" s="533" t="n"/>
      <c r="SSE71" s="515" t="inlineStr">
        <is>
          <t>SEGUROS</t>
        </is>
      </c>
      <c r="SSF71" s="534" t="inlineStr">
        <is>
          <t>RIMAC SEGUROS</t>
        </is>
      </c>
      <c r="SSG71" s="447" t="n"/>
      <c r="SSH71" s="529" t="n">
        <v>1086478942</v>
      </c>
      <c r="SSI71" s="518" t="n"/>
      <c r="SSJ71" s="519" t="n"/>
      <c r="SSK71" s="519" t="n">
        <v>45341</v>
      </c>
      <c r="SSN71" s="137" t="n">
        <v>218.95</v>
      </c>
      <c r="SSO71" s="30" t="n"/>
      <c r="SSP71" s="451" t="n"/>
      <c r="SSQ71" s="34" t="n"/>
      <c r="SSR71" s="30" t="n"/>
      <c r="SSS71" s="138">
        <f>+SSO71-SSQ71-SSS71</f>
        <v/>
      </c>
      <c r="SST71" s="533" t="n"/>
      <c r="SSU71" s="515" t="inlineStr">
        <is>
          <t>SEGUROS</t>
        </is>
      </c>
      <c r="SSV71" s="534" t="inlineStr">
        <is>
          <t>RIMAC SEGUROS</t>
        </is>
      </c>
      <c r="SSW71" s="447" t="n"/>
      <c r="SSX71" s="529" t="n">
        <v>1086478942</v>
      </c>
      <c r="SSY71" s="518" t="n"/>
      <c r="SSZ71" s="519" t="n"/>
      <c r="STA71" s="519" t="n">
        <v>45341</v>
      </c>
      <c r="STD71" s="137" t="n">
        <v>218.95</v>
      </c>
      <c r="STE71" s="30" t="n"/>
      <c r="STF71" s="451" t="n"/>
      <c r="STG71" s="34" t="n"/>
      <c r="STH71" s="30" t="n"/>
      <c r="STI71" s="138">
        <f>+STE71-STG71-STI71</f>
        <v/>
      </c>
      <c r="STJ71" s="533" t="n"/>
      <c r="STK71" s="515" t="inlineStr">
        <is>
          <t>SEGUROS</t>
        </is>
      </c>
      <c r="STL71" s="534" t="inlineStr">
        <is>
          <t>RIMAC SEGUROS</t>
        </is>
      </c>
      <c r="STM71" s="447" t="n"/>
      <c r="STN71" s="529" t="n">
        <v>1086478942</v>
      </c>
      <c r="STO71" s="518" t="n"/>
      <c r="STP71" s="519" t="n"/>
      <c r="STQ71" s="519" t="n">
        <v>45341</v>
      </c>
      <c r="STT71" s="137" t="n">
        <v>218.95</v>
      </c>
      <c r="STU71" s="30" t="n"/>
      <c r="STV71" s="451" t="n"/>
      <c r="STW71" s="34" t="n"/>
      <c r="STX71" s="30" t="n"/>
      <c r="STY71" s="138">
        <f>+STU71-STW71-STY71</f>
        <v/>
      </c>
      <c r="STZ71" s="533" t="n"/>
      <c r="SUA71" s="515" t="inlineStr">
        <is>
          <t>SEGUROS</t>
        </is>
      </c>
      <c r="SUB71" s="534" t="inlineStr">
        <is>
          <t>RIMAC SEGUROS</t>
        </is>
      </c>
      <c r="SUC71" s="447" t="n"/>
      <c r="SUD71" s="529" t="n">
        <v>1086478942</v>
      </c>
      <c r="SUE71" s="518" t="n"/>
      <c r="SUF71" s="519" t="n"/>
      <c r="SUG71" s="519" t="n">
        <v>45341</v>
      </c>
      <c r="SUJ71" s="137" t="n">
        <v>218.95</v>
      </c>
      <c r="SUK71" s="30" t="n"/>
      <c r="SUL71" s="451" t="n"/>
      <c r="SUM71" s="34" t="n"/>
      <c r="SUN71" s="30" t="n"/>
      <c r="SUO71" s="138">
        <f>+SUK71-SUM71-SUO71</f>
        <v/>
      </c>
      <c r="SUP71" s="533" t="n"/>
      <c r="SUQ71" s="515" t="inlineStr">
        <is>
          <t>SEGUROS</t>
        </is>
      </c>
      <c r="SUR71" s="534" t="inlineStr">
        <is>
          <t>RIMAC SEGUROS</t>
        </is>
      </c>
      <c r="SUS71" s="447" t="n"/>
      <c r="SUT71" s="529" t="n">
        <v>1086478942</v>
      </c>
      <c r="SUU71" s="518" t="n"/>
      <c r="SUV71" s="519" t="n"/>
      <c r="SUW71" s="519" t="n">
        <v>45341</v>
      </c>
      <c r="SUZ71" s="137" t="n">
        <v>218.95</v>
      </c>
      <c r="SVA71" s="30" t="n"/>
      <c r="SVB71" s="451" t="n"/>
      <c r="SVC71" s="34" t="n"/>
      <c r="SVD71" s="30" t="n"/>
      <c r="SVE71" s="138">
        <f>+SVA71-SVC71-SVE71</f>
        <v/>
      </c>
      <c r="SVF71" s="533" t="n"/>
      <c r="SVG71" s="515" t="inlineStr">
        <is>
          <t>SEGUROS</t>
        </is>
      </c>
      <c r="SVH71" s="534" t="inlineStr">
        <is>
          <t>RIMAC SEGUROS</t>
        </is>
      </c>
      <c r="SVI71" s="447" t="n"/>
      <c r="SVJ71" s="529" t="n">
        <v>1086478942</v>
      </c>
      <c r="SVK71" s="518" t="n"/>
      <c r="SVL71" s="519" t="n"/>
      <c r="SVM71" s="519" t="n">
        <v>45341</v>
      </c>
      <c r="SVP71" s="137" t="n">
        <v>218.95</v>
      </c>
      <c r="SVQ71" s="30" t="n"/>
      <c r="SVR71" s="451" t="n"/>
      <c r="SVS71" s="34" t="n"/>
      <c r="SVT71" s="30" t="n"/>
      <c r="SVU71" s="138">
        <f>+SVQ71-SVS71-SVU71</f>
        <v/>
      </c>
      <c r="SVV71" s="533" t="n"/>
      <c r="SVW71" s="515" t="inlineStr">
        <is>
          <t>SEGUROS</t>
        </is>
      </c>
      <c r="SVX71" s="534" t="inlineStr">
        <is>
          <t>RIMAC SEGUROS</t>
        </is>
      </c>
      <c r="SVY71" s="447" t="n"/>
      <c r="SVZ71" s="529" t="n">
        <v>1086478942</v>
      </c>
      <c r="SWA71" s="518" t="n"/>
      <c r="SWB71" s="519" t="n"/>
      <c r="SWC71" s="519" t="n">
        <v>45341</v>
      </c>
      <c r="SWF71" s="137" t="n">
        <v>218.95</v>
      </c>
      <c r="SWG71" s="30" t="n"/>
      <c r="SWH71" s="451" t="n"/>
      <c r="SWI71" s="34" t="n"/>
      <c r="SWJ71" s="30" t="n"/>
      <c r="SWK71" s="138">
        <f>+SWG71-SWI71-SWK71</f>
        <v/>
      </c>
      <c r="SWL71" s="533" t="n"/>
      <c r="SWM71" s="515" t="inlineStr">
        <is>
          <t>SEGUROS</t>
        </is>
      </c>
      <c r="SWN71" s="534" t="inlineStr">
        <is>
          <t>RIMAC SEGUROS</t>
        </is>
      </c>
      <c r="SWO71" s="447" t="n"/>
      <c r="SWP71" s="529" t="n">
        <v>1086478942</v>
      </c>
      <c r="SWQ71" s="518" t="n"/>
      <c r="SWR71" s="519" t="n"/>
      <c r="SWS71" s="519" t="n">
        <v>45341</v>
      </c>
      <c r="SWV71" s="137" t="n">
        <v>218.95</v>
      </c>
      <c r="SWW71" s="30" t="n"/>
      <c r="SWX71" s="451" t="n"/>
      <c r="SWY71" s="34" t="n"/>
      <c r="SWZ71" s="30" t="n"/>
      <c r="SXA71" s="138">
        <f>+SWW71-SWY71-SXA71</f>
        <v/>
      </c>
      <c r="SXB71" s="533" t="n"/>
      <c r="SXC71" s="515" t="inlineStr">
        <is>
          <t>SEGUROS</t>
        </is>
      </c>
      <c r="SXD71" s="534" t="inlineStr">
        <is>
          <t>RIMAC SEGUROS</t>
        </is>
      </c>
      <c r="SXE71" s="447" t="n"/>
      <c r="SXF71" s="529" t="n">
        <v>1086478942</v>
      </c>
      <c r="SXG71" s="518" t="n"/>
      <c r="SXH71" s="519" t="n"/>
      <c r="SXI71" s="519" t="n">
        <v>45341</v>
      </c>
      <c r="SXL71" s="137" t="n">
        <v>218.95</v>
      </c>
      <c r="SXM71" s="30" t="n"/>
      <c r="SXN71" s="451" t="n"/>
      <c r="SXO71" s="34" t="n"/>
      <c r="SXP71" s="30" t="n"/>
      <c r="SXQ71" s="138">
        <f>+SXM71-SXO71-SXQ71</f>
        <v/>
      </c>
      <c r="SXR71" s="533" t="n"/>
      <c r="SXS71" s="515" t="inlineStr">
        <is>
          <t>SEGUROS</t>
        </is>
      </c>
      <c r="SXT71" s="534" t="inlineStr">
        <is>
          <t>RIMAC SEGUROS</t>
        </is>
      </c>
      <c r="SXU71" s="447" t="n"/>
      <c r="SXV71" s="529" t="n">
        <v>1086478942</v>
      </c>
      <c r="SXW71" s="518" t="n"/>
      <c r="SXX71" s="519" t="n"/>
      <c r="SXY71" s="519" t="n">
        <v>45341</v>
      </c>
      <c r="SYB71" s="137" t="n">
        <v>218.95</v>
      </c>
      <c r="SYC71" s="30" t="n"/>
      <c r="SYD71" s="451" t="n"/>
      <c r="SYE71" s="34" t="n"/>
      <c r="SYF71" s="30" t="n"/>
      <c r="SYG71" s="138">
        <f>+SYC71-SYE71-SYG71</f>
        <v/>
      </c>
      <c r="SYH71" s="533" t="n"/>
      <c r="SYI71" s="515" t="inlineStr">
        <is>
          <t>SEGUROS</t>
        </is>
      </c>
      <c r="SYJ71" s="534" t="inlineStr">
        <is>
          <t>RIMAC SEGUROS</t>
        </is>
      </c>
      <c r="SYK71" s="447" t="n"/>
      <c r="SYL71" s="529" t="n">
        <v>1086478942</v>
      </c>
      <c r="SYM71" s="518" t="n"/>
      <c r="SYN71" s="519" t="n"/>
      <c r="SYO71" s="519" t="n">
        <v>45341</v>
      </c>
      <c r="SYR71" s="137" t="n">
        <v>218.95</v>
      </c>
      <c r="SYS71" s="30" t="n"/>
      <c r="SYT71" s="451" t="n"/>
      <c r="SYU71" s="34" t="n"/>
      <c r="SYV71" s="30" t="n"/>
      <c r="SYW71" s="138">
        <f>+SYS71-SYU71-SYW71</f>
        <v/>
      </c>
      <c r="SYX71" s="533" t="n"/>
      <c r="SYY71" s="515" t="inlineStr">
        <is>
          <t>SEGUROS</t>
        </is>
      </c>
      <c r="SYZ71" s="534" t="inlineStr">
        <is>
          <t>RIMAC SEGUROS</t>
        </is>
      </c>
      <c r="SZA71" s="447" t="n"/>
      <c r="SZB71" s="529" t="n">
        <v>1086478942</v>
      </c>
      <c r="SZC71" s="518" t="n"/>
      <c r="SZD71" s="519" t="n"/>
      <c r="SZE71" s="519" t="n">
        <v>45341</v>
      </c>
      <c r="SZH71" s="137" t="n">
        <v>218.95</v>
      </c>
      <c r="SZI71" s="30" t="n"/>
      <c r="SZJ71" s="451" t="n"/>
      <c r="SZK71" s="34" t="n"/>
      <c r="SZL71" s="30" t="n"/>
      <c r="SZM71" s="138">
        <f>+SZI71-SZK71-SZM71</f>
        <v/>
      </c>
      <c r="SZN71" s="533" t="n"/>
      <c r="SZO71" s="515" t="inlineStr">
        <is>
          <t>SEGUROS</t>
        </is>
      </c>
      <c r="SZP71" s="534" t="inlineStr">
        <is>
          <t>RIMAC SEGUROS</t>
        </is>
      </c>
      <c r="SZQ71" s="447" t="n"/>
      <c r="SZR71" s="529" t="n">
        <v>1086478942</v>
      </c>
      <c r="SZS71" s="518" t="n"/>
      <c r="SZT71" s="519" t="n"/>
      <c r="SZU71" s="519" t="n">
        <v>45341</v>
      </c>
      <c r="SZX71" s="137" t="n">
        <v>218.95</v>
      </c>
      <c r="SZY71" s="30" t="n"/>
      <c r="SZZ71" s="451" t="n"/>
      <c r="TAA71" s="34" t="n"/>
      <c r="TAB71" s="30" t="n"/>
      <c r="TAC71" s="138">
        <f>+SZY71-TAA71-TAC71</f>
        <v/>
      </c>
      <c r="TAD71" s="533" t="n"/>
      <c r="TAE71" s="515" t="inlineStr">
        <is>
          <t>SEGUROS</t>
        </is>
      </c>
      <c r="TAF71" s="534" t="inlineStr">
        <is>
          <t>RIMAC SEGUROS</t>
        </is>
      </c>
      <c r="TAG71" s="447" t="n"/>
      <c r="TAH71" s="529" t="n">
        <v>1086478942</v>
      </c>
      <c r="TAI71" s="518" t="n"/>
      <c r="TAJ71" s="519" t="n"/>
      <c r="TAK71" s="519" t="n">
        <v>45341</v>
      </c>
      <c r="TAN71" s="137" t="n">
        <v>218.95</v>
      </c>
      <c r="TAO71" s="30" t="n"/>
      <c r="TAP71" s="451" t="n"/>
      <c r="TAQ71" s="34" t="n"/>
      <c r="TAR71" s="30" t="n"/>
      <c r="TAS71" s="138">
        <f>+TAO71-TAQ71-TAS71</f>
        <v/>
      </c>
      <c r="TAT71" s="533" t="n"/>
      <c r="TAU71" s="515" t="inlineStr">
        <is>
          <t>SEGUROS</t>
        </is>
      </c>
      <c r="TAV71" s="534" t="inlineStr">
        <is>
          <t>RIMAC SEGUROS</t>
        </is>
      </c>
      <c r="TAW71" s="447" t="n"/>
      <c r="TAX71" s="529" t="n">
        <v>1086478942</v>
      </c>
      <c r="TAY71" s="518" t="n"/>
      <c r="TAZ71" s="519" t="n"/>
      <c r="TBA71" s="519" t="n">
        <v>45341</v>
      </c>
      <c r="TBD71" s="137" t="n">
        <v>218.95</v>
      </c>
      <c r="TBE71" s="30" t="n"/>
      <c r="TBF71" s="451" t="n"/>
      <c r="TBG71" s="34" t="n"/>
      <c r="TBH71" s="30" t="n"/>
      <c r="TBI71" s="138">
        <f>+TBE71-TBG71-TBI71</f>
        <v/>
      </c>
      <c r="TBJ71" s="533" t="n"/>
      <c r="TBK71" s="515" t="inlineStr">
        <is>
          <t>SEGUROS</t>
        </is>
      </c>
      <c r="TBL71" s="534" t="inlineStr">
        <is>
          <t>RIMAC SEGUROS</t>
        </is>
      </c>
      <c r="TBM71" s="447" t="n"/>
      <c r="TBN71" s="529" t="n">
        <v>1086478942</v>
      </c>
      <c r="TBO71" s="518" t="n"/>
      <c r="TBP71" s="519" t="n"/>
      <c r="TBQ71" s="519" t="n">
        <v>45341</v>
      </c>
      <c r="TBT71" s="137" t="n">
        <v>218.95</v>
      </c>
      <c r="TBU71" s="30" t="n"/>
      <c r="TBV71" s="451" t="n"/>
      <c r="TBW71" s="34" t="n"/>
      <c r="TBX71" s="30" t="n"/>
      <c r="TBY71" s="138">
        <f>+TBU71-TBW71-TBY71</f>
        <v/>
      </c>
      <c r="TBZ71" s="533" t="n"/>
      <c r="TCA71" s="515" t="inlineStr">
        <is>
          <t>SEGUROS</t>
        </is>
      </c>
      <c r="TCB71" s="534" t="inlineStr">
        <is>
          <t>RIMAC SEGUROS</t>
        </is>
      </c>
      <c r="TCC71" s="447" t="n"/>
      <c r="TCD71" s="529" t="n">
        <v>1086478942</v>
      </c>
      <c r="TCE71" s="518" t="n"/>
      <c r="TCF71" s="519" t="n"/>
      <c r="TCG71" s="519" t="n">
        <v>45341</v>
      </c>
      <c r="TCJ71" s="137" t="n">
        <v>218.95</v>
      </c>
      <c r="TCK71" s="30" t="n"/>
      <c r="TCL71" s="451" t="n"/>
      <c r="TCM71" s="34" t="n"/>
      <c r="TCN71" s="30" t="n"/>
      <c r="TCO71" s="138">
        <f>+TCK71-TCM71-TCO71</f>
        <v/>
      </c>
      <c r="TCP71" s="533" t="n"/>
      <c r="TCQ71" s="515" t="inlineStr">
        <is>
          <t>SEGUROS</t>
        </is>
      </c>
      <c r="TCR71" s="534" t="inlineStr">
        <is>
          <t>RIMAC SEGUROS</t>
        </is>
      </c>
      <c r="TCS71" s="447" t="n"/>
      <c r="TCT71" s="529" t="n">
        <v>1086478942</v>
      </c>
      <c r="TCU71" s="518" t="n"/>
      <c r="TCV71" s="519" t="n"/>
      <c r="TCW71" s="519" t="n">
        <v>45341</v>
      </c>
      <c r="TCZ71" s="137" t="n">
        <v>218.95</v>
      </c>
      <c r="TDA71" s="30" t="n"/>
      <c r="TDB71" s="451" t="n"/>
      <c r="TDC71" s="34" t="n"/>
      <c r="TDD71" s="30" t="n"/>
      <c r="TDE71" s="138">
        <f>+TDA71-TDC71-TDE71</f>
        <v/>
      </c>
      <c r="TDF71" s="533" t="n"/>
      <c r="TDG71" s="515" t="inlineStr">
        <is>
          <t>SEGUROS</t>
        </is>
      </c>
      <c r="TDH71" s="534" t="inlineStr">
        <is>
          <t>RIMAC SEGUROS</t>
        </is>
      </c>
      <c r="TDI71" s="447" t="n"/>
      <c r="TDJ71" s="529" t="n">
        <v>1086478942</v>
      </c>
      <c r="TDK71" s="518" t="n"/>
      <c r="TDL71" s="519" t="n"/>
      <c r="TDM71" s="519" t="n">
        <v>45341</v>
      </c>
      <c r="TDP71" s="137" t="n">
        <v>218.95</v>
      </c>
      <c r="TDQ71" s="30" t="n"/>
      <c r="TDR71" s="451" t="n"/>
      <c r="TDS71" s="34" t="n"/>
      <c r="TDT71" s="30" t="n"/>
      <c r="TDU71" s="138">
        <f>+TDQ71-TDS71-TDU71</f>
        <v/>
      </c>
      <c r="TDV71" s="533" t="n"/>
      <c r="TDW71" s="515" t="inlineStr">
        <is>
          <t>SEGUROS</t>
        </is>
      </c>
      <c r="TDX71" s="534" t="inlineStr">
        <is>
          <t>RIMAC SEGUROS</t>
        </is>
      </c>
      <c r="TDY71" s="447" t="n"/>
      <c r="TDZ71" s="529" t="n">
        <v>1086478942</v>
      </c>
      <c r="TEA71" s="518" t="n"/>
      <c r="TEB71" s="519" t="n"/>
      <c r="TEC71" s="519" t="n">
        <v>45341</v>
      </c>
      <c r="TEF71" s="137" t="n">
        <v>218.95</v>
      </c>
      <c r="TEG71" s="30" t="n"/>
      <c r="TEH71" s="451" t="n"/>
      <c r="TEI71" s="34" t="n"/>
      <c r="TEJ71" s="30" t="n"/>
      <c r="TEK71" s="138">
        <f>+TEG71-TEI71-TEK71</f>
        <v/>
      </c>
      <c r="TEL71" s="533" t="n"/>
      <c r="TEM71" s="515" t="inlineStr">
        <is>
          <t>SEGUROS</t>
        </is>
      </c>
      <c r="TEN71" s="534" t="inlineStr">
        <is>
          <t>RIMAC SEGUROS</t>
        </is>
      </c>
      <c r="TEO71" s="447" t="n"/>
      <c r="TEP71" s="529" t="n">
        <v>1086478942</v>
      </c>
      <c r="TEQ71" s="518" t="n"/>
      <c r="TER71" s="519" t="n"/>
      <c r="TES71" s="519" t="n">
        <v>45341</v>
      </c>
      <c r="TEV71" s="137" t="n">
        <v>218.95</v>
      </c>
      <c r="TEW71" s="30" t="n"/>
      <c r="TEX71" s="451" t="n"/>
      <c r="TEY71" s="34" t="n"/>
      <c r="TEZ71" s="30" t="n"/>
      <c r="TFA71" s="138">
        <f>+TEW71-TEY71-TFA71</f>
        <v/>
      </c>
      <c r="TFB71" s="533" t="n"/>
      <c r="TFC71" s="515" t="inlineStr">
        <is>
          <t>SEGUROS</t>
        </is>
      </c>
      <c r="TFD71" s="534" t="inlineStr">
        <is>
          <t>RIMAC SEGUROS</t>
        </is>
      </c>
      <c r="TFE71" s="447" t="n"/>
      <c r="TFF71" s="529" t="n">
        <v>1086478942</v>
      </c>
      <c r="TFG71" s="518" t="n"/>
      <c r="TFH71" s="519" t="n"/>
      <c r="TFI71" s="519" t="n">
        <v>45341</v>
      </c>
      <c r="TFL71" s="137" t="n">
        <v>218.95</v>
      </c>
      <c r="TFM71" s="30" t="n"/>
      <c r="TFN71" s="451" t="n"/>
      <c r="TFO71" s="34" t="n"/>
      <c r="TFP71" s="30" t="n"/>
      <c r="TFQ71" s="138">
        <f>+TFM71-TFO71-TFQ71</f>
        <v/>
      </c>
      <c r="TFR71" s="533" t="n"/>
      <c r="TFS71" s="515" t="inlineStr">
        <is>
          <t>SEGUROS</t>
        </is>
      </c>
      <c r="TFT71" s="534" t="inlineStr">
        <is>
          <t>RIMAC SEGUROS</t>
        </is>
      </c>
      <c r="TFU71" s="447" t="n"/>
      <c r="TFV71" s="529" t="n">
        <v>1086478942</v>
      </c>
      <c r="TFW71" s="518" t="n"/>
      <c r="TFX71" s="519" t="n"/>
      <c r="TFY71" s="519" t="n">
        <v>45341</v>
      </c>
      <c r="TGB71" s="137" t="n">
        <v>218.95</v>
      </c>
      <c r="TGC71" s="30" t="n"/>
      <c r="TGD71" s="451" t="n"/>
      <c r="TGE71" s="34" t="n"/>
      <c r="TGF71" s="30" t="n"/>
      <c r="TGG71" s="138">
        <f>+TGC71-TGE71-TGG71</f>
        <v/>
      </c>
      <c r="TGH71" s="533" t="n"/>
      <c r="TGI71" s="515" t="inlineStr">
        <is>
          <t>SEGUROS</t>
        </is>
      </c>
      <c r="TGJ71" s="534" t="inlineStr">
        <is>
          <t>RIMAC SEGUROS</t>
        </is>
      </c>
      <c r="TGK71" s="447" t="n"/>
      <c r="TGL71" s="529" t="n">
        <v>1086478942</v>
      </c>
      <c r="TGM71" s="518" t="n"/>
      <c r="TGN71" s="519" t="n"/>
      <c r="TGO71" s="519" t="n">
        <v>45341</v>
      </c>
      <c r="TGR71" s="137" t="n">
        <v>218.95</v>
      </c>
      <c r="TGS71" s="30" t="n"/>
      <c r="TGT71" s="451" t="n"/>
      <c r="TGU71" s="34" t="n"/>
      <c r="TGV71" s="30" t="n"/>
      <c r="TGW71" s="138">
        <f>+TGS71-TGU71-TGW71</f>
        <v/>
      </c>
      <c r="TGX71" s="533" t="n"/>
      <c r="TGY71" s="515" t="inlineStr">
        <is>
          <t>SEGUROS</t>
        </is>
      </c>
      <c r="TGZ71" s="534" t="inlineStr">
        <is>
          <t>RIMAC SEGUROS</t>
        </is>
      </c>
      <c r="THA71" s="447" t="n"/>
      <c r="THB71" s="529" t="n">
        <v>1086478942</v>
      </c>
      <c r="THC71" s="518" t="n"/>
      <c r="THD71" s="519" t="n"/>
      <c r="THE71" s="519" t="n">
        <v>45341</v>
      </c>
      <c r="THH71" s="137" t="n">
        <v>218.95</v>
      </c>
      <c r="THI71" s="30" t="n"/>
      <c r="THJ71" s="451" t="n"/>
      <c r="THK71" s="34" t="n"/>
      <c r="THL71" s="30" t="n"/>
      <c r="THM71" s="138">
        <f>+THI71-THK71-THM71</f>
        <v/>
      </c>
      <c r="THN71" s="533" t="n"/>
      <c r="THO71" s="515" t="inlineStr">
        <is>
          <t>SEGUROS</t>
        </is>
      </c>
      <c r="THP71" s="534" t="inlineStr">
        <is>
          <t>RIMAC SEGUROS</t>
        </is>
      </c>
      <c r="THQ71" s="447" t="n"/>
      <c r="THR71" s="529" t="n">
        <v>1086478942</v>
      </c>
      <c r="THS71" s="518" t="n"/>
      <c r="THT71" s="519" t="n"/>
      <c r="THU71" s="519" t="n">
        <v>45341</v>
      </c>
      <c r="THX71" s="137" t="n">
        <v>218.95</v>
      </c>
      <c r="THY71" s="30" t="n"/>
      <c r="THZ71" s="451" t="n"/>
      <c r="TIA71" s="34" t="n"/>
      <c r="TIB71" s="30" t="n"/>
      <c r="TIC71" s="138">
        <f>+THY71-TIA71-TIC71</f>
        <v/>
      </c>
      <c r="TID71" s="533" t="n"/>
      <c r="TIE71" s="515" t="inlineStr">
        <is>
          <t>SEGUROS</t>
        </is>
      </c>
      <c r="TIF71" s="534" t="inlineStr">
        <is>
          <t>RIMAC SEGUROS</t>
        </is>
      </c>
      <c r="TIG71" s="447" t="n"/>
      <c r="TIH71" s="529" t="n">
        <v>1086478942</v>
      </c>
      <c r="TII71" s="518" t="n"/>
      <c r="TIJ71" s="519" t="n"/>
      <c r="TIK71" s="519" t="n">
        <v>45341</v>
      </c>
      <c r="TIN71" s="137" t="n">
        <v>218.95</v>
      </c>
      <c r="TIO71" s="30" t="n"/>
      <c r="TIP71" s="451" t="n"/>
      <c r="TIQ71" s="34" t="n"/>
      <c r="TIR71" s="30" t="n"/>
      <c r="TIS71" s="138">
        <f>+TIO71-TIQ71-TIS71</f>
        <v/>
      </c>
      <c r="TIT71" s="533" t="n"/>
      <c r="TIU71" s="515" t="inlineStr">
        <is>
          <t>SEGUROS</t>
        </is>
      </c>
      <c r="TIV71" s="534" t="inlineStr">
        <is>
          <t>RIMAC SEGUROS</t>
        </is>
      </c>
      <c r="TIW71" s="447" t="n"/>
      <c r="TIX71" s="529" t="n">
        <v>1086478942</v>
      </c>
      <c r="TIY71" s="518" t="n"/>
      <c r="TIZ71" s="519" t="n"/>
      <c r="TJA71" s="519" t="n">
        <v>45341</v>
      </c>
      <c r="TJD71" s="137" t="n">
        <v>218.95</v>
      </c>
      <c r="TJE71" s="30" t="n"/>
      <c r="TJF71" s="451" t="n"/>
      <c r="TJG71" s="34" t="n"/>
      <c r="TJH71" s="30" t="n"/>
      <c r="TJI71" s="138">
        <f>+TJE71-TJG71-TJI71</f>
        <v/>
      </c>
      <c r="TJJ71" s="533" t="n"/>
      <c r="TJK71" s="515" t="inlineStr">
        <is>
          <t>SEGUROS</t>
        </is>
      </c>
      <c r="TJL71" s="534" t="inlineStr">
        <is>
          <t>RIMAC SEGUROS</t>
        </is>
      </c>
      <c r="TJM71" s="447" t="n"/>
      <c r="TJN71" s="529" t="n">
        <v>1086478942</v>
      </c>
      <c r="TJO71" s="518" t="n"/>
      <c r="TJP71" s="519" t="n"/>
      <c r="TJQ71" s="519" t="n">
        <v>45341</v>
      </c>
      <c r="TJT71" s="137" t="n">
        <v>218.95</v>
      </c>
      <c r="TJU71" s="30" t="n"/>
      <c r="TJV71" s="451" t="n"/>
      <c r="TJW71" s="34" t="n"/>
      <c r="TJX71" s="30" t="n"/>
      <c r="TJY71" s="138">
        <f>+TJU71-TJW71-TJY71</f>
        <v/>
      </c>
      <c r="TJZ71" s="533" t="n"/>
      <c r="TKA71" s="515" t="inlineStr">
        <is>
          <t>SEGUROS</t>
        </is>
      </c>
      <c r="TKB71" s="534" t="inlineStr">
        <is>
          <t>RIMAC SEGUROS</t>
        </is>
      </c>
      <c r="TKC71" s="447" t="n"/>
      <c r="TKD71" s="529" t="n">
        <v>1086478942</v>
      </c>
      <c r="TKE71" s="518" t="n"/>
      <c r="TKF71" s="519" t="n"/>
      <c r="TKG71" s="519" t="n">
        <v>45341</v>
      </c>
      <c r="TKJ71" s="137" t="n">
        <v>218.95</v>
      </c>
      <c r="TKK71" s="30" t="n"/>
      <c r="TKL71" s="451" t="n"/>
      <c r="TKM71" s="34" t="n"/>
      <c r="TKN71" s="30" t="n"/>
      <c r="TKO71" s="138">
        <f>+TKK71-TKM71-TKO71</f>
        <v/>
      </c>
      <c r="TKP71" s="533" t="n"/>
      <c r="TKQ71" s="515" t="inlineStr">
        <is>
          <t>SEGUROS</t>
        </is>
      </c>
      <c r="TKR71" s="534" t="inlineStr">
        <is>
          <t>RIMAC SEGUROS</t>
        </is>
      </c>
      <c r="TKS71" s="447" t="n"/>
      <c r="TKT71" s="529" t="n">
        <v>1086478942</v>
      </c>
      <c r="TKU71" s="518" t="n"/>
      <c r="TKV71" s="519" t="n"/>
      <c r="TKW71" s="519" t="n">
        <v>45341</v>
      </c>
      <c r="TKZ71" s="137" t="n">
        <v>218.95</v>
      </c>
      <c r="TLA71" s="30" t="n"/>
      <c r="TLB71" s="451" t="n"/>
      <c r="TLC71" s="34" t="n"/>
      <c r="TLD71" s="30" t="n"/>
      <c r="TLE71" s="138">
        <f>+TLA71-TLC71-TLE71</f>
        <v/>
      </c>
      <c r="TLF71" s="533" t="n"/>
      <c r="TLG71" s="515" t="inlineStr">
        <is>
          <t>SEGUROS</t>
        </is>
      </c>
      <c r="TLH71" s="534" t="inlineStr">
        <is>
          <t>RIMAC SEGUROS</t>
        </is>
      </c>
      <c r="TLI71" s="447" t="n"/>
      <c r="TLJ71" s="529" t="n">
        <v>1086478942</v>
      </c>
      <c r="TLK71" s="518" t="n"/>
      <c r="TLL71" s="519" t="n"/>
      <c r="TLM71" s="519" t="n">
        <v>45341</v>
      </c>
      <c r="TLP71" s="137" t="n">
        <v>218.95</v>
      </c>
      <c r="TLQ71" s="30" t="n"/>
      <c r="TLR71" s="451" t="n"/>
      <c r="TLS71" s="34" t="n"/>
      <c r="TLT71" s="30" t="n"/>
      <c r="TLU71" s="138">
        <f>+TLQ71-TLS71-TLU71</f>
        <v/>
      </c>
      <c r="TLV71" s="533" t="n"/>
      <c r="TLW71" s="515" t="inlineStr">
        <is>
          <t>SEGUROS</t>
        </is>
      </c>
      <c r="TLX71" s="534" t="inlineStr">
        <is>
          <t>RIMAC SEGUROS</t>
        </is>
      </c>
      <c r="TLY71" s="447" t="n"/>
      <c r="TLZ71" s="529" t="n">
        <v>1086478942</v>
      </c>
      <c r="TMA71" s="518" t="n"/>
      <c r="TMB71" s="519" t="n"/>
      <c r="TMC71" s="519" t="n">
        <v>45341</v>
      </c>
      <c r="TMF71" s="137" t="n">
        <v>218.95</v>
      </c>
      <c r="TMG71" s="30" t="n"/>
      <c r="TMH71" s="451" t="n"/>
      <c r="TMI71" s="34" t="n"/>
      <c r="TMJ71" s="30" t="n"/>
      <c r="TMK71" s="138">
        <f>+TMG71-TMI71-TMK71</f>
        <v/>
      </c>
      <c r="TML71" s="533" t="n"/>
      <c r="TMM71" s="515" t="inlineStr">
        <is>
          <t>SEGUROS</t>
        </is>
      </c>
      <c r="TMN71" s="534" t="inlineStr">
        <is>
          <t>RIMAC SEGUROS</t>
        </is>
      </c>
      <c r="TMO71" s="447" t="n"/>
      <c r="TMP71" s="529" t="n">
        <v>1086478942</v>
      </c>
      <c r="TMQ71" s="518" t="n"/>
      <c r="TMR71" s="519" t="n"/>
      <c r="TMS71" s="519" t="n">
        <v>45341</v>
      </c>
      <c r="TMV71" s="137" t="n">
        <v>218.95</v>
      </c>
      <c r="TMW71" s="30" t="n"/>
      <c r="TMX71" s="451" t="n"/>
      <c r="TMY71" s="34" t="n"/>
      <c r="TMZ71" s="30" t="n"/>
      <c r="TNA71" s="138">
        <f>+TMW71-TMY71-TNA71</f>
        <v/>
      </c>
      <c r="TNB71" s="533" t="n"/>
      <c r="TNC71" s="515" t="inlineStr">
        <is>
          <t>SEGUROS</t>
        </is>
      </c>
      <c r="TND71" s="534" t="inlineStr">
        <is>
          <t>RIMAC SEGUROS</t>
        </is>
      </c>
      <c r="TNE71" s="447" t="n"/>
      <c r="TNF71" s="529" t="n">
        <v>1086478942</v>
      </c>
      <c r="TNG71" s="518" t="n"/>
      <c r="TNH71" s="519" t="n"/>
      <c r="TNI71" s="519" t="n">
        <v>45341</v>
      </c>
      <c r="TNL71" s="137" t="n">
        <v>218.95</v>
      </c>
      <c r="TNM71" s="30" t="n"/>
      <c r="TNN71" s="451" t="n"/>
      <c r="TNO71" s="34" t="n"/>
      <c r="TNP71" s="30" t="n"/>
      <c r="TNQ71" s="138">
        <f>+TNM71-TNO71-TNQ71</f>
        <v/>
      </c>
      <c r="TNR71" s="533" t="n"/>
      <c r="TNS71" s="515" t="inlineStr">
        <is>
          <t>SEGUROS</t>
        </is>
      </c>
      <c r="TNT71" s="534" t="inlineStr">
        <is>
          <t>RIMAC SEGUROS</t>
        </is>
      </c>
      <c r="TNU71" s="447" t="n"/>
      <c r="TNV71" s="529" t="n">
        <v>1086478942</v>
      </c>
      <c r="TNW71" s="518" t="n"/>
      <c r="TNX71" s="519" t="n"/>
      <c r="TNY71" s="519" t="n">
        <v>45341</v>
      </c>
      <c r="TOB71" s="137" t="n">
        <v>218.95</v>
      </c>
      <c r="TOC71" s="30" t="n"/>
      <c r="TOD71" s="451" t="n"/>
      <c r="TOE71" s="34" t="n"/>
      <c r="TOF71" s="30" t="n"/>
      <c r="TOG71" s="138">
        <f>+TOC71-TOE71-TOG71</f>
        <v/>
      </c>
      <c r="TOH71" s="533" t="n"/>
      <c r="TOI71" s="515" t="inlineStr">
        <is>
          <t>SEGUROS</t>
        </is>
      </c>
      <c r="TOJ71" s="534" t="inlineStr">
        <is>
          <t>RIMAC SEGUROS</t>
        </is>
      </c>
      <c r="TOK71" s="447" t="n"/>
      <c r="TOL71" s="529" t="n">
        <v>1086478942</v>
      </c>
      <c r="TOM71" s="518" t="n"/>
      <c r="TON71" s="519" t="n"/>
      <c r="TOO71" s="519" t="n">
        <v>45341</v>
      </c>
      <c r="TOR71" s="137" t="n">
        <v>218.95</v>
      </c>
      <c r="TOS71" s="30" t="n"/>
      <c r="TOT71" s="451" t="n"/>
      <c r="TOU71" s="34" t="n"/>
      <c r="TOV71" s="30" t="n"/>
      <c r="TOW71" s="138">
        <f>+TOS71-TOU71-TOW71</f>
        <v/>
      </c>
      <c r="TOX71" s="533" t="n"/>
      <c r="TOY71" s="515" t="inlineStr">
        <is>
          <t>SEGUROS</t>
        </is>
      </c>
      <c r="TOZ71" s="534" t="inlineStr">
        <is>
          <t>RIMAC SEGUROS</t>
        </is>
      </c>
      <c r="TPA71" s="447" t="n"/>
      <c r="TPB71" s="529" t="n">
        <v>1086478942</v>
      </c>
      <c r="TPC71" s="518" t="n"/>
      <c r="TPD71" s="519" t="n"/>
      <c r="TPE71" s="519" t="n">
        <v>45341</v>
      </c>
      <c r="TPH71" s="137" t="n">
        <v>218.95</v>
      </c>
      <c r="TPI71" s="30" t="n"/>
      <c r="TPJ71" s="451" t="n"/>
      <c r="TPK71" s="34" t="n"/>
      <c r="TPL71" s="30" t="n"/>
      <c r="TPM71" s="138">
        <f>+TPI71-TPK71-TPM71</f>
        <v/>
      </c>
      <c r="TPN71" s="533" t="n"/>
      <c r="TPO71" s="515" t="inlineStr">
        <is>
          <t>SEGUROS</t>
        </is>
      </c>
      <c r="TPP71" s="534" t="inlineStr">
        <is>
          <t>RIMAC SEGUROS</t>
        </is>
      </c>
      <c r="TPQ71" s="447" t="n"/>
      <c r="TPR71" s="529" t="n">
        <v>1086478942</v>
      </c>
      <c r="TPS71" s="518" t="n"/>
      <c r="TPT71" s="519" t="n"/>
      <c r="TPU71" s="519" t="n">
        <v>45341</v>
      </c>
      <c r="TPX71" s="137" t="n">
        <v>218.95</v>
      </c>
      <c r="TPY71" s="30" t="n"/>
      <c r="TPZ71" s="451" t="n"/>
      <c r="TQA71" s="34" t="n"/>
      <c r="TQB71" s="30" t="n"/>
      <c r="TQC71" s="138">
        <f>+TPY71-TQA71-TQC71</f>
        <v/>
      </c>
      <c r="TQD71" s="533" t="n"/>
      <c r="TQE71" s="515" t="inlineStr">
        <is>
          <t>SEGUROS</t>
        </is>
      </c>
      <c r="TQF71" s="534" t="inlineStr">
        <is>
          <t>RIMAC SEGUROS</t>
        </is>
      </c>
      <c r="TQG71" s="447" t="n"/>
      <c r="TQH71" s="529" t="n">
        <v>1086478942</v>
      </c>
      <c r="TQI71" s="518" t="n"/>
      <c r="TQJ71" s="519" t="n"/>
      <c r="TQK71" s="519" t="n">
        <v>45341</v>
      </c>
      <c r="TQN71" s="137" t="n">
        <v>218.95</v>
      </c>
      <c r="TQO71" s="30" t="n"/>
      <c r="TQP71" s="451" t="n"/>
      <c r="TQQ71" s="34" t="n"/>
      <c r="TQR71" s="30" t="n"/>
      <c r="TQS71" s="138">
        <f>+TQO71-TQQ71-TQS71</f>
        <v/>
      </c>
      <c r="TQT71" s="533" t="n"/>
      <c r="TQU71" s="515" t="inlineStr">
        <is>
          <t>SEGUROS</t>
        </is>
      </c>
      <c r="TQV71" s="534" t="inlineStr">
        <is>
          <t>RIMAC SEGUROS</t>
        </is>
      </c>
      <c r="TQW71" s="447" t="n"/>
      <c r="TQX71" s="529" t="n">
        <v>1086478942</v>
      </c>
      <c r="TQY71" s="518" t="n"/>
      <c r="TQZ71" s="519" t="n"/>
      <c r="TRA71" s="519" t="n">
        <v>45341</v>
      </c>
      <c r="TRD71" s="137" t="n">
        <v>218.95</v>
      </c>
      <c r="TRE71" s="30" t="n"/>
      <c r="TRF71" s="451" t="n"/>
      <c r="TRG71" s="34" t="n"/>
      <c r="TRH71" s="30" t="n"/>
      <c r="TRI71" s="138">
        <f>+TRE71-TRG71-TRI71</f>
        <v/>
      </c>
      <c r="TRJ71" s="533" t="n"/>
      <c r="TRK71" s="515" t="inlineStr">
        <is>
          <t>SEGUROS</t>
        </is>
      </c>
      <c r="TRL71" s="534" t="inlineStr">
        <is>
          <t>RIMAC SEGUROS</t>
        </is>
      </c>
      <c r="TRM71" s="447" t="n"/>
      <c r="TRN71" s="529" t="n">
        <v>1086478942</v>
      </c>
      <c r="TRO71" s="518" t="n"/>
      <c r="TRP71" s="519" t="n"/>
      <c r="TRQ71" s="519" t="n">
        <v>45341</v>
      </c>
      <c r="TRT71" s="137" t="n">
        <v>218.95</v>
      </c>
      <c r="TRU71" s="30" t="n"/>
      <c r="TRV71" s="451" t="n"/>
      <c r="TRW71" s="34" t="n"/>
      <c r="TRX71" s="30" t="n"/>
      <c r="TRY71" s="138">
        <f>+TRU71-TRW71-TRY71</f>
        <v/>
      </c>
      <c r="TRZ71" s="533" t="n"/>
      <c r="TSA71" s="515" t="inlineStr">
        <is>
          <t>SEGUROS</t>
        </is>
      </c>
      <c r="TSB71" s="534" t="inlineStr">
        <is>
          <t>RIMAC SEGUROS</t>
        </is>
      </c>
      <c r="TSC71" s="447" t="n"/>
      <c r="TSD71" s="529" t="n">
        <v>1086478942</v>
      </c>
      <c r="TSE71" s="518" t="n"/>
      <c r="TSF71" s="519" t="n"/>
      <c r="TSG71" s="519" t="n">
        <v>45341</v>
      </c>
      <c r="TSJ71" s="137" t="n">
        <v>218.95</v>
      </c>
      <c r="TSK71" s="30" t="n"/>
      <c r="TSL71" s="451" t="n"/>
      <c r="TSM71" s="34" t="n"/>
      <c r="TSN71" s="30" t="n"/>
      <c r="TSO71" s="138">
        <f>+TSK71-TSM71-TSO71</f>
        <v/>
      </c>
      <c r="TSP71" s="533" t="n"/>
      <c r="TSQ71" s="515" t="inlineStr">
        <is>
          <t>SEGUROS</t>
        </is>
      </c>
      <c r="TSR71" s="534" t="inlineStr">
        <is>
          <t>RIMAC SEGUROS</t>
        </is>
      </c>
      <c r="TSS71" s="447" t="n"/>
      <c r="TST71" s="529" t="n">
        <v>1086478942</v>
      </c>
      <c r="TSU71" s="518" t="n"/>
      <c r="TSV71" s="519" t="n"/>
      <c r="TSW71" s="519" t="n">
        <v>45341</v>
      </c>
      <c r="TSZ71" s="137" t="n">
        <v>218.95</v>
      </c>
      <c r="TTA71" s="30" t="n"/>
      <c r="TTB71" s="451" t="n"/>
      <c r="TTC71" s="34" t="n"/>
      <c r="TTD71" s="30" t="n"/>
      <c r="TTE71" s="138">
        <f>+TTA71-TTC71-TTE71</f>
        <v/>
      </c>
      <c r="TTF71" s="533" t="n"/>
      <c r="TTG71" s="515" t="inlineStr">
        <is>
          <t>SEGUROS</t>
        </is>
      </c>
      <c r="TTH71" s="534" t="inlineStr">
        <is>
          <t>RIMAC SEGUROS</t>
        </is>
      </c>
      <c r="TTI71" s="447" t="n"/>
      <c r="TTJ71" s="529" t="n">
        <v>1086478942</v>
      </c>
      <c r="TTK71" s="518" t="n"/>
      <c r="TTL71" s="519" t="n"/>
      <c r="TTM71" s="519" t="n">
        <v>45341</v>
      </c>
      <c r="TTP71" s="137" t="n">
        <v>218.95</v>
      </c>
      <c r="TTQ71" s="30" t="n"/>
      <c r="TTR71" s="451" t="n"/>
      <c r="TTS71" s="34" t="n"/>
      <c r="TTT71" s="30" t="n"/>
      <c r="TTU71" s="138">
        <f>+TTQ71-TTS71-TTU71</f>
        <v/>
      </c>
      <c r="TTV71" s="533" t="n"/>
      <c r="TTW71" s="515" t="inlineStr">
        <is>
          <t>SEGUROS</t>
        </is>
      </c>
      <c r="TTX71" s="534" t="inlineStr">
        <is>
          <t>RIMAC SEGUROS</t>
        </is>
      </c>
      <c r="TTY71" s="447" t="n"/>
      <c r="TTZ71" s="529" t="n">
        <v>1086478942</v>
      </c>
      <c r="TUA71" s="518" t="n"/>
      <c r="TUB71" s="519" t="n"/>
      <c r="TUC71" s="519" t="n">
        <v>45341</v>
      </c>
      <c r="TUF71" s="137" t="n">
        <v>218.95</v>
      </c>
      <c r="TUG71" s="30" t="n"/>
      <c r="TUH71" s="451" t="n"/>
      <c r="TUI71" s="34" t="n"/>
      <c r="TUJ71" s="30" t="n"/>
      <c r="TUK71" s="138">
        <f>+TUG71-TUI71-TUK71</f>
        <v/>
      </c>
      <c r="TUL71" s="533" t="n"/>
      <c r="TUM71" s="515" t="inlineStr">
        <is>
          <t>SEGUROS</t>
        </is>
      </c>
      <c r="TUN71" s="534" t="inlineStr">
        <is>
          <t>RIMAC SEGUROS</t>
        </is>
      </c>
      <c r="TUO71" s="447" t="n"/>
      <c r="TUP71" s="529" t="n">
        <v>1086478942</v>
      </c>
      <c r="TUQ71" s="518" t="n"/>
      <c r="TUR71" s="519" t="n"/>
      <c r="TUS71" s="519" t="n">
        <v>45341</v>
      </c>
      <c r="TUV71" s="137" t="n">
        <v>218.95</v>
      </c>
      <c r="TUW71" s="30" t="n"/>
      <c r="TUX71" s="451" t="n"/>
      <c r="TUY71" s="34" t="n"/>
      <c r="TUZ71" s="30" t="n"/>
      <c r="TVA71" s="138">
        <f>+TUW71-TUY71-TVA71</f>
        <v/>
      </c>
      <c r="TVB71" s="533" t="n"/>
      <c r="TVC71" s="515" t="inlineStr">
        <is>
          <t>SEGUROS</t>
        </is>
      </c>
      <c r="TVD71" s="534" t="inlineStr">
        <is>
          <t>RIMAC SEGUROS</t>
        </is>
      </c>
      <c r="TVE71" s="447" t="n"/>
      <c r="TVF71" s="529" t="n">
        <v>1086478942</v>
      </c>
      <c r="TVG71" s="518" t="n"/>
      <c r="TVH71" s="519" t="n"/>
      <c r="TVI71" s="519" t="n">
        <v>45341</v>
      </c>
      <c r="TVL71" s="137" t="n">
        <v>218.95</v>
      </c>
      <c r="TVM71" s="30" t="n"/>
      <c r="TVN71" s="451" t="n"/>
      <c r="TVO71" s="34" t="n"/>
      <c r="TVP71" s="30" t="n"/>
      <c r="TVQ71" s="138">
        <f>+TVM71-TVO71-TVQ71</f>
        <v/>
      </c>
      <c r="TVR71" s="533" t="n"/>
      <c r="TVS71" s="515" t="inlineStr">
        <is>
          <t>SEGUROS</t>
        </is>
      </c>
      <c r="TVT71" s="534" t="inlineStr">
        <is>
          <t>RIMAC SEGUROS</t>
        </is>
      </c>
      <c r="TVU71" s="447" t="n"/>
      <c r="TVV71" s="529" t="n">
        <v>1086478942</v>
      </c>
      <c r="TVW71" s="518" t="n"/>
      <c r="TVX71" s="519" t="n"/>
      <c r="TVY71" s="519" t="n">
        <v>45341</v>
      </c>
      <c r="TWB71" s="137" t="n">
        <v>218.95</v>
      </c>
      <c r="TWC71" s="30" t="n"/>
      <c r="TWD71" s="451" t="n"/>
      <c r="TWE71" s="34" t="n"/>
      <c r="TWF71" s="30" t="n"/>
      <c r="TWG71" s="138">
        <f>+TWC71-TWE71-TWG71</f>
        <v/>
      </c>
      <c r="TWH71" s="533" t="n"/>
      <c r="TWI71" s="515" t="inlineStr">
        <is>
          <t>SEGUROS</t>
        </is>
      </c>
      <c r="TWJ71" s="534" t="inlineStr">
        <is>
          <t>RIMAC SEGUROS</t>
        </is>
      </c>
      <c r="TWK71" s="447" t="n"/>
      <c r="TWL71" s="529" t="n">
        <v>1086478942</v>
      </c>
      <c r="TWM71" s="518" t="n"/>
      <c r="TWN71" s="519" t="n"/>
      <c r="TWO71" s="519" t="n">
        <v>45341</v>
      </c>
      <c r="TWR71" s="137" t="n">
        <v>218.95</v>
      </c>
      <c r="TWS71" s="30" t="n"/>
      <c r="TWT71" s="451" t="n"/>
      <c r="TWU71" s="34" t="n"/>
      <c r="TWV71" s="30" t="n"/>
      <c r="TWW71" s="138">
        <f>+TWS71-TWU71-TWW71</f>
        <v/>
      </c>
      <c r="TWX71" s="533" t="n"/>
      <c r="TWY71" s="515" t="inlineStr">
        <is>
          <t>SEGUROS</t>
        </is>
      </c>
      <c r="TWZ71" s="534" t="inlineStr">
        <is>
          <t>RIMAC SEGUROS</t>
        </is>
      </c>
      <c r="TXA71" s="447" t="n"/>
      <c r="TXB71" s="529" t="n">
        <v>1086478942</v>
      </c>
      <c r="TXC71" s="518" t="n"/>
      <c r="TXD71" s="519" t="n"/>
      <c r="TXE71" s="519" t="n">
        <v>45341</v>
      </c>
      <c r="TXH71" s="137" t="n">
        <v>218.95</v>
      </c>
      <c r="TXI71" s="30" t="n"/>
      <c r="TXJ71" s="451" t="n"/>
      <c r="TXK71" s="34" t="n"/>
      <c r="TXL71" s="30" t="n"/>
      <c r="TXM71" s="138">
        <f>+TXI71-TXK71-TXM71</f>
        <v/>
      </c>
      <c r="TXN71" s="533" t="n"/>
      <c r="TXO71" s="515" t="inlineStr">
        <is>
          <t>SEGUROS</t>
        </is>
      </c>
      <c r="TXP71" s="534" t="inlineStr">
        <is>
          <t>RIMAC SEGUROS</t>
        </is>
      </c>
      <c r="TXQ71" s="447" t="n"/>
      <c r="TXR71" s="529" t="n">
        <v>1086478942</v>
      </c>
      <c r="TXS71" s="518" t="n"/>
      <c r="TXT71" s="519" t="n"/>
      <c r="TXU71" s="519" t="n">
        <v>45341</v>
      </c>
      <c r="TXX71" s="137" t="n">
        <v>218.95</v>
      </c>
      <c r="TXY71" s="30" t="n"/>
      <c r="TXZ71" s="451" t="n"/>
      <c r="TYA71" s="34" t="n"/>
      <c r="TYB71" s="30" t="n"/>
      <c r="TYC71" s="138">
        <f>+TXY71-TYA71-TYC71</f>
        <v/>
      </c>
      <c r="TYD71" s="533" t="n"/>
      <c r="TYE71" s="515" t="inlineStr">
        <is>
          <t>SEGUROS</t>
        </is>
      </c>
      <c r="TYF71" s="534" t="inlineStr">
        <is>
          <t>RIMAC SEGUROS</t>
        </is>
      </c>
      <c r="TYG71" s="447" t="n"/>
      <c r="TYH71" s="529" t="n">
        <v>1086478942</v>
      </c>
      <c r="TYI71" s="518" t="n"/>
      <c r="TYJ71" s="519" t="n"/>
      <c r="TYK71" s="519" t="n">
        <v>45341</v>
      </c>
      <c r="TYN71" s="137" t="n">
        <v>218.95</v>
      </c>
      <c r="TYO71" s="30" t="n"/>
      <c r="TYP71" s="451" t="n"/>
      <c r="TYQ71" s="34" t="n"/>
      <c r="TYR71" s="30" t="n"/>
      <c r="TYS71" s="138">
        <f>+TYO71-TYQ71-TYS71</f>
        <v/>
      </c>
      <c r="TYT71" s="533" t="n"/>
      <c r="TYU71" s="515" t="inlineStr">
        <is>
          <t>SEGUROS</t>
        </is>
      </c>
      <c r="TYV71" s="534" t="inlineStr">
        <is>
          <t>RIMAC SEGUROS</t>
        </is>
      </c>
      <c r="TYW71" s="447" t="n"/>
      <c r="TYX71" s="529" t="n">
        <v>1086478942</v>
      </c>
      <c r="TYY71" s="518" t="n"/>
      <c r="TYZ71" s="519" t="n"/>
      <c r="TZA71" s="519" t="n">
        <v>45341</v>
      </c>
      <c r="TZD71" s="137" t="n">
        <v>218.95</v>
      </c>
      <c r="TZE71" s="30" t="n"/>
      <c r="TZF71" s="451" t="n"/>
      <c r="TZG71" s="34" t="n"/>
      <c r="TZH71" s="30" t="n"/>
      <c r="TZI71" s="138">
        <f>+TZE71-TZG71-TZI71</f>
        <v/>
      </c>
      <c r="TZJ71" s="533" t="n"/>
      <c r="TZK71" s="515" t="inlineStr">
        <is>
          <t>SEGUROS</t>
        </is>
      </c>
      <c r="TZL71" s="534" t="inlineStr">
        <is>
          <t>RIMAC SEGUROS</t>
        </is>
      </c>
      <c r="TZM71" s="447" t="n"/>
      <c r="TZN71" s="529" t="n">
        <v>1086478942</v>
      </c>
      <c r="TZO71" s="518" t="n"/>
      <c r="TZP71" s="519" t="n"/>
      <c r="TZQ71" s="519" t="n">
        <v>45341</v>
      </c>
      <c r="TZT71" s="137" t="n">
        <v>218.95</v>
      </c>
      <c r="TZU71" s="30" t="n"/>
      <c r="TZV71" s="451" t="n"/>
      <c r="TZW71" s="34" t="n"/>
      <c r="TZX71" s="30" t="n"/>
      <c r="TZY71" s="138">
        <f>+TZU71-TZW71-TZY71</f>
        <v/>
      </c>
      <c r="TZZ71" s="533" t="n"/>
      <c r="UAA71" s="515" t="inlineStr">
        <is>
          <t>SEGUROS</t>
        </is>
      </c>
      <c r="UAB71" s="534" t="inlineStr">
        <is>
          <t>RIMAC SEGUROS</t>
        </is>
      </c>
      <c r="UAC71" s="447" t="n"/>
      <c r="UAD71" s="529" t="n">
        <v>1086478942</v>
      </c>
      <c r="UAE71" s="518" t="n"/>
      <c r="UAF71" s="519" t="n"/>
      <c r="UAG71" s="519" t="n">
        <v>45341</v>
      </c>
      <c r="UAJ71" s="137" t="n">
        <v>218.95</v>
      </c>
      <c r="UAK71" s="30" t="n"/>
      <c r="UAL71" s="451" t="n"/>
      <c r="UAM71" s="34" t="n"/>
      <c r="UAN71" s="30" t="n"/>
      <c r="UAO71" s="138">
        <f>+UAK71-UAM71-UAO71</f>
        <v/>
      </c>
      <c r="UAP71" s="533" t="n"/>
      <c r="UAQ71" s="515" t="inlineStr">
        <is>
          <t>SEGUROS</t>
        </is>
      </c>
      <c r="UAR71" s="534" t="inlineStr">
        <is>
          <t>RIMAC SEGUROS</t>
        </is>
      </c>
      <c r="UAS71" s="447" t="n"/>
      <c r="UAT71" s="529" t="n">
        <v>1086478942</v>
      </c>
      <c r="UAU71" s="518" t="n"/>
      <c r="UAV71" s="519" t="n"/>
      <c r="UAW71" s="519" t="n">
        <v>45341</v>
      </c>
      <c r="UAZ71" s="137" t="n">
        <v>218.95</v>
      </c>
      <c r="UBA71" s="30" t="n"/>
      <c r="UBB71" s="451" t="n"/>
      <c r="UBC71" s="34" t="n"/>
      <c r="UBD71" s="30" t="n"/>
      <c r="UBE71" s="138">
        <f>+UBA71-UBC71-UBE71</f>
        <v/>
      </c>
      <c r="UBF71" s="533" t="n"/>
      <c r="UBG71" s="515" t="inlineStr">
        <is>
          <t>SEGUROS</t>
        </is>
      </c>
      <c r="UBH71" s="534" t="inlineStr">
        <is>
          <t>RIMAC SEGUROS</t>
        </is>
      </c>
      <c r="UBI71" s="447" t="n"/>
      <c r="UBJ71" s="529" t="n">
        <v>1086478942</v>
      </c>
      <c r="UBK71" s="518" t="n"/>
      <c r="UBL71" s="519" t="n"/>
      <c r="UBM71" s="519" t="n">
        <v>45341</v>
      </c>
      <c r="UBP71" s="137" t="n">
        <v>218.95</v>
      </c>
      <c r="UBQ71" s="30" t="n"/>
      <c r="UBR71" s="451" t="n"/>
      <c r="UBS71" s="34" t="n"/>
      <c r="UBT71" s="30" t="n"/>
      <c r="UBU71" s="138">
        <f>+UBQ71-UBS71-UBU71</f>
        <v/>
      </c>
      <c r="UBV71" s="533" t="n"/>
      <c r="UBW71" s="515" t="inlineStr">
        <is>
          <t>SEGUROS</t>
        </is>
      </c>
      <c r="UBX71" s="534" t="inlineStr">
        <is>
          <t>RIMAC SEGUROS</t>
        </is>
      </c>
      <c r="UBY71" s="447" t="n"/>
      <c r="UBZ71" s="529" t="n">
        <v>1086478942</v>
      </c>
      <c r="UCA71" s="518" t="n"/>
      <c r="UCB71" s="519" t="n"/>
      <c r="UCC71" s="519" t="n">
        <v>45341</v>
      </c>
      <c r="UCF71" s="137" t="n">
        <v>218.95</v>
      </c>
      <c r="UCG71" s="30" t="n"/>
      <c r="UCH71" s="451" t="n"/>
      <c r="UCI71" s="34" t="n"/>
      <c r="UCJ71" s="30" t="n"/>
      <c r="UCK71" s="138">
        <f>+UCG71-UCI71-UCK71</f>
        <v/>
      </c>
      <c r="UCL71" s="533" t="n"/>
      <c r="UCM71" s="515" t="inlineStr">
        <is>
          <t>SEGUROS</t>
        </is>
      </c>
      <c r="UCN71" s="534" t="inlineStr">
        <is>
          <t>RIMAC SEGUROS</t>
        </is>
      </c>
      <c r="UCO71" s="447" t="n"/>
      <c r="UCP71" s="529" t="n">
        <v>1086478942</v>
      </c>
      <c r="UCQ71" s="518" t="n"/>
      <c r="UCR71" s="519" t="n"/>
      <c r="UCS71" s="519" t="n">
        <v>45341</v>
      </c>
      <c r="UCV71" s="137" t="n">
        <v>218.95</v>
      </c>
      <c r="UCW71" s="30" t="n"/>
      <c r="UCX71" s="451" t="n"/>
      <c r="UCY71" s="34" t="n"/>
      <c r="UCZ71" s="30" t="n"/>
      <c r="UDA71" s="138">
        <f>+UCW71-UCY71-UDA71</f>
        <v/>
      </c>
      <c r="UDB71" s="533" t="n"/>
      <c r="UDC71" s="515" t="inlineStr">
        <is>
          <t>SEGUROS</t>
        </is>
      </c>
      <c r="UDD71" s="534" t="inlineStr">
        <is>
          <t>RIMAC SEGUROS</t>
        </is>
      </c>
      <c r="UDE71" s="447" t="n"/>
      <c r="UDF71" s="529" t="n">
        <v>1086478942</v>
      </c>
      <c r="UDG71" s="518" t="n"/>
      <c r="UDH71" s="519" t="n"/>
      <c r="UDI71" s="519" t="n">
        <v>45341</v>
      </c>
      <c r="UDL71" s="137" t="n">
        <v>218.95</v>
      </c>
      <c r="UDM71" s="30" t="n"/>
      <c r="UDN71" s="451" t="n"/>
      <c r="UDO71" s="34" t="n"/>
      <c r="UDP71" s="30" t="n"/>
      <c r="UDQ71" s="138">
        <f>+UDM71-UDO71-UDQ71</f>
        <v/>
      </c>
      <c r="UDR71" s="533" t="n"/>
      <c r="UDS71" s="515" t="inlineStr">
        <is>
          <t>SEGUROS</t>
        </is>
      </c>
      <c r="UDT71" s="534" t="inlineStr">
        <is>
          <t>RIMAC SEGUROS</t>
        </is>
      </c>
      <c r="UDU71" s="447" t="n"/>
      <c r="UDV71" s="529" t="n">
        <v>1086478942</v>
      </c>
      <c r="UDW71" s="518" t="n"/>
      <c r="UDX71" s="519" t="n"/>
      <c r="UDY71" s="519" t="n">
        <v>45341</v>
      </c>
      <c r="UEB71" s="137" t="n">
        <v>218.95</v>
      </c>
      <c r="UEC71" s="30" t="n"/>
      <c r="UED71" s="451" t="n"/>
      <c r="UEE71" s="34" t="n"/>
      <c r="UEF71" s="30" t="n"/>
      <c r="UEG71" s="138">
        <f>+UEC71-UEE71-UEG71</f>
        <v/>
      </c>
      <c r="UEH71" s="533" t="n"/>
      <c r="UEI71" s="515" t="inlineStr">
        <is>
          <t>SEGUROS</t>
        </is>
      </c>
      <c r="UEJ71" s="534" t="inlineStr">
        <is>
          <t>RIMAC SEGUROS</t>
        </is>
      </c>
      <c r="UEK71" s="447" t="n"/>
      <c r="UEL71" s="529" t="n">
        <v>1086478942</v>
      </c>
      <c r="UEM71" s="518" t="n"/>
      <c r="UEN71" s="519" t="n"/>
      <c r="UEO71" s="519" t="n">
        <v>45341</v>
      </c>
      <c r="UER71" s="137" t="n">
        <v>218.95</v>
      </c>
      <c r="UES71" s="30" t="n"/>
      <c r="UET71" s="451" t="n"/>
      <c r="UEU71" s="34" t="n"/>
      <c r="UEV71" s="30" t="n"/>
      <c r="UEW71" s="138">
        <f>+UES71-UEU71-UEW71</f>
        <v/>
      </c>
      <c r="UEX71" s="533" t="n"/>
      <c r="UEY71" s="515" t="inlineStr">
        <is>
          <t>SEGUROS</t>
        </is>
      </c>
      <c r="UEZ71" s="534" t="inlineStr">
        <is>
          <t>RIMAC SEGUROS</t>
        </is>
      </c>
      <c r="UFA71" s="447" t="n"/>
      <c r="UFB71" s="529" t="n">
        <v>1086478942</v>
      </c>
      <c r="UFC71" s="518" t="n"/>
      <c r="UFD71" s="519" t="n"/>
      <c r="UFE71" s="519" t="n">
        <v>45341</v>
      </c>
      <c r="UFH71" s="137" t="n">
        <v>218.95</v>
      </c>
      <c r="UFI71" s="30" t="n"/>
      <c r="UFJ71" s="451" t="n"/>
      <c r="UFK71" s="34" t="n"/>
      <c r="UFL71" s="30" t="n"/>
      <c r="UFM71" s="138">
        <f>+UFI71-UFK71-UFM71</f>
        <v/>
      </c>
      <c r="UFN71" s="533" t="n"/>
      <c r="UFO71" s="515" t="inlineStr">
        <is>
          <t>SEGUROS</t>
        </is>
      </c>
      <c r="UFP71" s="534" t="inlineStr">
        <is>
          <t>RIMAC SEGUROS</t>
        </is>
      </c>
      <c r="UFQ71" s="447" t="n"/>
      <c r="UFR71" s="529" t="n">
        <v>1086478942</v>
      </c>
      <c r="UFS71" s="518" t="n"/>
      <c r="UFT71" s="519" t="n"/>
      <c r="UFU71" s="519" t="n">
        <v>45341</v>
      </c>
      <c r="UFX71" s="137" t="n">
        <v>218.95</v>
      </c>
      <c r="UFY71" s="30" t="n"/>
      <c r="UFZ71" s="451" t="n"/>
      <c r="UGA71" s="34" t="n"/>
      <c r="UGB71" s="30" t="n"/>
      <c r="UGC71" s="138">
        <f>+UFY71-UGA71-UGC71</f>
        <v/>
      </c>
      <c r="UGD71" s="533" t="n"/>
      <c r="UGE71" s="515" t="inlineStr">
        <is>
          <t>SEGUROS</t>
        </is>
      </c>
      <c r="UGF71" s="534" t="inlineStr">
        <is>
          <t>RIMAC SEGUROS</t>
        </is>
      </c>
      <c r="UGG71" s="447" t="n"/>
      <c r="UGH71" s="529" t="n">
        <v>1086478942</v>
      </c>
      <c r="UGI71" s="518" t="n"/>
      <c r="UGJ71" s="519" t="n"/>
      <c r="UGK71" s="519" t="n">
        <v>45341</v>
      </c>
      <c r="UGN71" s="137" t="n">
        <v>218.95</v>
      </c>
      <c r="UGO71" s="30" t="n"/>
      <c r="UGP71" s="451" t="n"/>
      <c r="UGQ71" s="34" t="n"/>
      <c r="UGR71" s="30" t="n"/>
      <c r="UGS71" s="138">
        <f>+UGO71-UGQ71-UGS71</f>
        <v/>
      </c>
      <c r="UGT71" s="533" t="n"/>
      <c r="UGU71" s="515" t="inlineStr">
        <is>
          <t>SEGUROS</t>
        </is>
      </c>
      <c r="UGV71" s="534" t="inlineStr">
        <is>
          <t>RIMAC SEGUROS</t>
        </is>
      </c>
      <c r="UGW71" s="447" t="n"/>
      <c r="UGX71" s="529" t="n">
        <v>1086478942</v>
      </c>
      <c r="UGY71" s="518" t="n"/>
      <c r="UGZ71" s="519" t="n"/>
      <c r="UHA71" s="519" t="n">
        <v>45341</v>
      </c>
      <c r="UHD71" s="137" t="n">
        <v>218.95</v>
      </c>
      <c r="UHE71" s="30" t="n"/>
      <c r="UHF71" s="451" t="n"/>
      <c r="UHG71" s="34" t="n"/>
      <c r="UHH71" s="30" t="n"/>
      <c r="UHI71" s="138">
        <f>+UHE71-UHG71-UHI71</f>
        <v/>
      </c>
      <c r="UHJ71" s="533" t="n"/>
      <c r="UHK71" s="515" t="inlineStr">
        <is>
          <t>SEGUROS</t>
        </is>
      </c>
      <c r="UHL71" s="534" t="inlineStr">
        <is>
          <t>RIMAC SEGUROS</t>
        </is>
      </c>
      <c r="UHM71" s="447" t="n"/>
      <c r="UHN71" s="529" t="n">
        <v>1086478942</v>
      </c>
      <c r="UHO71" s="518" t="n"/>
      <c r="UHP71" s="519" t="n"/>
      <c r="UHQ71" s="519" t="n">
        <v>45341</v>
      </c>
      <c r="UHT71" s="137" t="n">
        <v>218.95</v>
      </c>
      <c r="UHU71" s="30" t="n"/>
      <c r="UHV71" s="451" t="n"/>
      <c r="UHW71" s="34" t="n"/>
      <c r="UHX71" s="30" t="n"/>
      <c r="UHY71" s="138">
        <f>+UHU71-UHW71-UHY71</f>
        <v/>
      </c>
      <c r="UHZ71" s="533" t="n"/>
      <c r="UIA71" s="515" t="inlineStr">
        <is>
          <t>SEGUROS</t>
        </is>
      </c>
      <c r="UIB71" s="534" t="inlineStr">
        <is>
          <t>RIMAC SEGUROS</t>
        </is>
      </c>
      <c r="UIC71" s="447" t="n"/>
      <c r="UID71" s="529" t="n">
        <v>1086478942</v>
      </c>
      <c r="UIE71" s="518" t="n"/>
      <c r="UIF71" s="519" t="n"/>
      <c r="UIG71" s="519" t="n">
        <v>45341</v>
      </c>
      <c r="UIJ71" s="137" t="n">
        <v>218.95</v>
      </c>
      <c r="UIK71" s="30" t="n"/>
      <c r="UIL71" s="451" t="n"/>
      <c r="UIM71" s="34" t="n"/>
      <c r="UIN71" s="30" t="n"/>
      <c r="UIO71" s="138">
        <f>+UIK71-UIM71-UIO71</f>
        <v/>
      </c>
      <c r="UIP71" s="533" t="n"/>
      <c r="UIQ71" s="515" t="inlineStr">
        <is>
          <t>SEGUROS</t>
        </is>
      </c>
      <c r="UIR71" s="534" t="inlineStr">
        <is>
          <t>RIMAC SEGUROS</t>
        </is>
      </c>
      <c r="UIS71" s="447" t="n"/>
      <c r="UIT71" s="529" t="n">
        <v>1086478942</v>
      </c>
      <c r="UIU71" s="518" t="n"/>
      <c r="UIV71" s="519" t="n"/>
      <c r="UIW71" s="519" t="n">
        <v>45341</v>
      </c>
      <c r="UIZ71" s="137" t="n">
        <v>218.95</v>
      </c>
      <c r="UJA71" s="30" t="n"/>
      <c r="UJB71" s="451" t="n"/>
      <c r="UJC71" s="34" t="n"/>
      <c r="UJD71" s="30" t="n"/>
      <c r="UJE71" s="138">
        <f>+UJA71-UJC71-UJE71</f>
        <v/>
      </c>
      <c r="UJF71" s="533" t="n"/>
      <c r="UJG71" s="515" t="inlineStr">
        <is>
          <t>SEGUROS</t>
        </is>
      </c>
      <c r="UJH71" s="534" t="inlineStr">
        <is>
          <t>RIMAC SEGUROS</t>
        </is>
      </c>
      <c r="UJI71" s="447" t="n"/>
      <c r="UJJ71" s="529" t="n">
        <v>1086478942</v>
      </c>
      <c r="UJK71" s="518" t="n"/>
      <c r="UJL71" s="519" t="n"/>
      <c r="UJM71" s="519" t="n">
        <v>45341</v>
      </c>
      <c r="UJP71" s="137" t="n">
        <v>218.95</v>
      </c>
      <c r="UJQ71" s="30" t="n"/>
      <c r="UJR71" s="451" t="n"/>
      <c r="UJS71" s="34" t="n"/>
      <c r="UJT71" s="30" t="n"/>
      <c r="UJU71" s="138">
        <f>+UJQ71-UJS71-UJU71</f>
        <v/>
      </c>
      <c r="UJV71" s="533" t="n"/>
      <c r="UJW71" s="515" t="inlineStr">
        <is>
          <t>SEGUROS</t>
        </is>
      </c>
      <c r="UJX71" s="534" t="inlineStr">
        <is>
          <t>RIMAC SEGUROS</t>
        </is>
      </c>
      <c r="UJY71" s="447" t="n"/>
      <c r="UJZ71" s="529" t="n">
        <v>1086478942</v>
      </c>
      <c r="UKA71" s="518" t="n"/>
      <c r="UKB71" s="519" t="n"/>
      <c r="UKC71" s="519" t="n">
        <v>45341</v>
      </c>
      <c r="UKF71" s="137" t="n">
        <v>218.95</v>
      </c>
      <c r="UKG71" s="30" t="n"/>
      <c r="UKH71" s="451" t="n"/>
      <c r="UKI71" s="34" t="n"/>
      <c r="UKJ71" s="30" t="n"/>
      <c r="UKK71" s="138">
        <f>+UKG71-UKI71-UKK71</f>
        <v/>
      </c>
      <c r="UKL71" s="533" t="n"/>
      <c r="UKM71" s="515" t="inlineStr">
        <is>
          <t>SEGUROS</t>
        </is>
      </c>
      <c r="UKN71" s="534" t="inlineStr">
        <is>
          <t>RIMAC SEGUROS</t>
        </is>
      </c>
      <c r="UKO71" s="447" t="n"/>
      <c r="UKP71" s="529" t="n">
        <v>1086478942</v>
      </c>
      <c r="UKQ71" s="518" t="n"/>
      <c r="UKR71" s="519" t="n"/>
      <c r="UKS71" s="519" t="n">
        <v>45341</v>
      </c>
      <c r="UKV71" s="137" t="n">
        <v>218.95</v>
      </c>
      <c r="UKW71" s="30" t="n"/>
      <c r="UKX71" s="451" t="n"/>
      <c r="UKY71" s="34" t="n"/>
      <c r="UKZ71" s="30" t="n"/>
      <c r="ULA71" s="138">
        <f>+UKW71-UKY71-ULA71</f>
        <v/>
      </c>
      <c r="ULB71" s="533" t="n"/>
      <c r="ULC71" s="515" t="inlineStr">
        <is>
          <t>SEGUROS</t>
        </is>
      </c>
      <c r="ULD71" s="534" t="inlineStr">
        <is>
          <t>RIMAC SEGUROS</t>
        </is>
      </c>
      <c r="ULE71" s="447" t="n"/>
      <c r="ULF71" s="529" t="n">
        <v>1086478942</v>
      </c>
      <c r="ULG71" s="518" t="n"/>
      <c r="ULH71" s="519" t="n"/>
      <c r="ULI71" s="519" t="n">
        <v>45341</v>
      </c>
      <c r="ULL71" s="137" t="n">
        <v>218.95</v>
      </c>
      <c r="ULM71" s="30" t="n"/>
      <c r="ULN71" s="451" t="n"/>
      <c r="ULO71" s="34" t="n"/>
      <c r="ULP71" s="30" t="n"/>
      <c r="ULQ71" s="138">
        <f>+ULM71-ULO71-ULQ71</f>
        <v/>
      </c>
      <c r="ULR71" s="533" t="n"/>
      <c r="ULS71" s="515" t="inlineStr">
        <is>
          <t>SEGUROS</t>
        </is>
      </c>
      <c r="ULT71" s="534" t="inlineStr">
        <is>
          <t>RIMAC SEGUROS</t>
        </is>
      </c>
      <c r="ULU71" s="447" t="n"/>
      <c r="ULV71" s="529" t="n">
        <v>1086478942</v>
      </c>
      <c r="ULW71" s="518" t="n"/>
      <c r="ULX71" s="519" t="n"/>
      <c r="ULY71" s="519" t="n">
        <v>45341</v>
      </c>
      <c r="UMB71" s="137" t="n">
        <v>218.95</v>
      </c>
      <c r="UMC71" s="30" t="n"/>
      <c r="UMD71" s="451" t="n"/>
      <c r="UME71" s="34" t="n"/>
      <c r="UMF71" s="30" t="n"/>
      <c r="UMG71" s="138">
        <f>+UMC71-UME71-UMG71</f>
        <v/>
      </c>
      <c r="UMH71" s="533" t="n"/>
      <c r="UMI71" s="515" t="inlineStr">
        <is>
          <t>SEGUROS</t>
        </is>
      </c>
      <c r="UMJ71" s="534" t="inlineStr">
        <is>
          <t>RIMAC SEGUROS</t>
        </is>
      </c>
      <c r="UMK71" s="447" t="n"/>
      <c r="UML71" s="529" t="n">
        <v>1086478942</v>
      </c>
      <c r="UMM71" s="518" t="n"/>
      <c r="UMN71" s="519" t="n"/>
      <c r="UMO71" s="519" t="n">
        <v>45341</v>
      </c>
      <c r="UMR71" s="137" t="n">
        <v>218.95</v>
      </c>
      <c r="UMS71" s="30" t="n"/>
      <c r="UMT71" s="451" t="n"/>
      <c r="UMU71" s="34" t="n"/>
      <c r="UMV71" s="30" t="n"/>
      <c r="UMW71" s="138">
        <f>+UMS71-UMU71-UMW71</f>
        <v/>
      </c>
      <c r="UMX71" s="533" t="n"/>
      <c r="UMY71" s="515" t="inlineStr">
        <is>
          <t>SEGUROS</t>
        </is>
      </c>
      <c r="UMZ71" s="534" t="inlineStr">
        <is>
          <t>RIMAC SEGUROS</t>
        </is>
      </c>
      <c r="UNA71" s="447" t="n"/>
      <c r="UNB71" s="529" t="n">
        <v>1086478942</v>
      </c>
      <c r="UNC71" s="518" t="n"/>
      <c r="UND71" s="519" t="n"/>
      <c r="UNE71" s="519" t="n">
        <v>45341</v>
      </c>
      <c r="UNH71" s="137" t="n">
        <v>218.95</v>
      </c>
      <c r="UNI71" s="30" t="n"/>
      <c r="UNJ71" s="451" t="n"/>
      <c r="UNK71" s="34" t="n"/>
      <c r="UNL71" s="30" t="n"/>
      <c r="UNM71" s="138">
        <f>+UNI71-UNK71-UNM71</f>
        <v/>
      </c>
      <c r="UNN71" s="533" t="n"/>
      <c r="UNO71" s="515" t="inlineStr">
        <is>
          <t>SEGUROS</t>
        </is>
      </c>
      <c r="UNP71" s="534" t="inlineStr">
        <is>
          <t>RIMAC SEGUROS</t>
        </is>
      </c>
      <c r="UNQ71" s="447" t="n"/>
      <c r="UNR71" s="529" t="n">
        <v>1086478942</v>
      </c>
      <c r="UNS71" s="518" t="n"/>
      <c r="UNT71" s="519" t="n"/>
      <c r="UNU71" s="519" t="n">
        <v>45341</v>
      </c>
      <c r="UNX71" s="137" t="n">
        <v>218.95</v>
      </c>
      <c r="UNY71" s="30" t="n"/>
      <c r="UNZ71" s="451" t="n"/>
      <c r="UOA71" s="34" t="n"/>
      <c r="UOB71" s="30" t="n"/>
      <c r="UOC71" s="138">
        <f>+UNY71-UOA71-UOC71</f>
        <v/>
      </c>
      <c r="UOD71" s="533" t="n"/>
      <c r="UOE71" s="515" t="inlineStr">
        <is>
          <t>SEGUROS</t>
        </is>
      </c>
      <c r="UOF71" s="534" t="inlineStr">
        <is>
          <t>RIMAC SEGUROS</t>
        </is>
      </c>
      <c r="UOG71" s="447" t="n"/>
      <c r="UOH71" s="529" t="n">
        <v>1086478942</v>
      </c>
      <c r="UOI71" s="518" t="n"/>
      <c r="UOJ71" s="519" t="n"/>
      <c r="UOK71" s="519" t="n">
        <v>45341</v>
      </c>
      <c r="UON71" s="137" t="n">
        <v>218.95</v>
      </c>
      <c r="UOO71" s="30" t="n"/>
      <c r="UOP71" s="451" t="n"/>
      <c r="UOQ71" s="34" t="n"/>
      <c r="UOR71" s="30" t="n"/>
      <c r="UOS71" s="138">
        <f>+UOO71-UOQ71-UOS71</f>
        <v/>
      </c>
      <c r="UOT71" s="533" t="n"/>
      <c r="UOU71" s="515" t="inlineStr">
        <is>
          <t>SEGUROS</t>
        </is>
      </c>
      <c r="UOV71" s="534" t="inlineStr">
        <is>
          <t>RIMAC SEGUROS</t>
        </is>
      </c>
      <c r="UOW71" s="447" t="n"/>
      <c r="UOX71" s="529" t="n">
        <v>1086478942</v>
      </c>
      <c r="UOY71" s="518" t="n"/>
      <c r="UOZ71" s="519" t="n"/>
      <c r="UPA71" s="519" t="n">
        <v>45341</v>
      </c>
      <c r="UPD71" s="137" t="n">
        <v>218.95</v>
      </c>
      <c r="UPE71" s="30" t="n"/>
      <c r="UPF71" s="451" t="n"/>
      <c r="UPG71" s="34" t="n"/>
      <c r="UPH71" s="30" t="n"/>
      <c r="UPI71" s="138">
        <f>+UPE71-UPG71-UPI71</f>
        <v/>
      </c>
      <c r="UPJ71" s="533" t="n"/>
      <c r="UPK71" s="515" t="inlineStr">
        <is>
          <t>SEGUROS</t>
        </is>
      </c>
      <c r="UPL71" s="534" t="inlineStr">
        <is>
          <t>RIMAC SEGUROS</t>
        </is>
      </c>
      <c r="UPM71" s="447" t="n"/>
      <c r="UPN71" s="529" t="n">
        <v>1086478942</v>
      </c>
      <c r="UPO71" s="518" t="n"/>
      <c r="UPP71" s="519" t="n"/>
      <c r="UPQ71" s="519" t="n">
        <v>45341</v>
      </c>
      <c r="UPT71" s="137" t="n">
        <v>218.95</v>
      </c>
      <c r="UPU71" s="30" t="n"/>
      <c r="UPV71" s="451" t="n"/>
      <c r="UPW71" s="34" t="n"/>
      <c r="UPX71" s="30" t="n"/>
      <c r="UPY71" s="138">
        <f>+UPU71-UPW71-UPY71</f>
        <v/>
      </c>
      <c r="UPZ71" s="533" t="n"/>
      <c r="UQA71" s="515" t="inlineStr">
        <is>
          <t>SEGUROS</t>
        </is>
      </c>
      <c r="UQB71" s="534" t="inlineStr">
        <is>
          <t>RIMAC SEGUROS</t>
        </is>
      </c>
      <c r="UQC71" s="447" t="n"/>
      <c r="UQD71" s="529" t="n">
        <v>1086478942</v>
      </c>
      <c r="UQE71" s="518" t="n"/>
      <c r="UQF71" s="519" t="n"/>
      <c r="UQG71" s="519" t="n">
        <v>45341</v>
      </c>
      <c r="UQJ71" s="137" t="n">
        <v>218.95</v>
      </c>
      <c r="UQK71" s="30" t="n"/>
      <c r="UQL71" s="451" t="n"/>
      <c r="UQM71" s="34" t="n"/>
      <c r="UQN71" s="30" t="n"/>
      <c r="UQO71" s="138">
        <f>+UQK71-UQM71-UQO71</f>
        <v/>
      </c>
      <c r="UQP71" s="533" t="n"/>
      <c r="UQQ71" s="515" t="inlineStr">
        <is>
          <t>SEGUROS</t>
        </is>
      </c>
      <c r="UQR71" s="534" t="inlineStr">
        <is>
          <t>RIMAC SEGUROS</t>
        </is>
      </c>
      <c r="UQS71" s="447" t="n"/>
      <c r="UQT71" s="529" t="n">
        <v>1086478942</v>
      </c>
      <c r="UQU71" s="518" t="n"/>
      <c r="UQV71" s="519" t="n"/>
      <c r="UQW71" s="519" t="n">
        <v>45341</v>
      </c>
      <c r="UQZ71" s="137" t="n">
        <v>218.95</v>
      </c>
      <c r="URA71" s="30" t="n"/>
      <c r="URB71" s="451" t="n"/>
      <c r="URC71" s="34" t="n"/>
      <c r="URD71" s="30" t="n"/>
      <c r="URE71" s="138">
        <f>+URA71-URC71-URE71</f>
        <v/>
      </c>
      <c r="URF71" s="533" t="n"/>
      <c r="URG71" s="515" t="inlineStr">
        <is>
          <t>SEGUROS</t>
        </is>
      </c>
      <c r="URH71" s="534" t="inlineStr">
        <is>
          <t>RIMAC SEGUROS</t>
        </is>
      </c>
      <c r="URI71" s="447" t="n"/>
      <c r="URJ71" s="529" t="n">
        <v>1086478942</v>
      </c>
      <c r="URK71" s="518" t="n"/>
      <c r="URL71" s="519" t="n"/>
      <c r="URM71" s="519" t="n">
        <v>45341</v>
      </c>
      <c r="URP71" s="137" t="n">
        <v>218.95</v>
      </c>
      <c r="URQ71" s="30" t="n"/>
      <c r="URR71" s="451" t="n"/>
      <c r="URS71" s="34" t="n"/>
      <c r="URT71" s="30" t="n"/>
      <c r="URU71" s="138">
        <f>+URQ71-URS71-URU71</f>
        <v/>
      </c>
      <c r="URV71" s="533" t="n"/>
      <c r="URW71" s="515" t="inlineStr">
        <is>
          <t>SEGUROS</t>
        </is>
      </c>
      <c r="URX71" s="534" t="inlineStr">
        <is>
          <t>RIMAC SEGUROS</t>
        </is>
      </c>
      <c r="URY71" s="447" t="n"/>
      <c r="URZ71" s="529" t="n">
        <v>1086478942</v>
      </c>
      <c r="USA71" s="518" t="n"/>
      <c r="USB71" s="519" t="n"/>
      <c r="USC71" s="519" t="n">
        <v>45341</v>
      </c>
      <c r="USF71" s="137" t="n">
        <v>218.95</v>
      </c>
      <c r="USG71" s="30" t="n"/>
      <c r="USH71" s="451" t="n"/>
      <c r="USI71" s="34" t="n"/>
      <c r="USJ71" s="30" t="n"/>
      <c r="USK71" s="138">
        <f>+USG71-USI71-USK71</f>
        <v/>
      </c>
      <c r="USL71" s="533" t="n"/>
      <c r="USM71" s="515" t="inlineStr">
        <is>
          <t>SEGUROS</t>
        </is>
      </c>
      <c r="USN71" s="534" t="inlineStr">
        <is>
          <t>RIMAC SEGUROS</t>
        </is>
      </c>
      <c r="USO71" s="447" t="n"/>
      <c r="USP71" s="529" t="n">
        <v>1086478942</v>
      </c>
      <c r="USQ71" s="518" t="n"/>
      <c r="USR71" s="519" t="n"/>
      <c r="USS71" s="519" t="n">
        <v>45341</v>
      </c>
      <c r="USV71" s="137" t="n">
        <v>218.95</v>
      </c>
      <c r="USW71" s="30" t="n"/>
      <c r="USX71" s="451" t="n"/>
      <c r="USY71" s="34" t="n"/>
      <c r="USZ71" s="30" t="n"/>
      <c r="UTA71" s="138">
        <f>+USW71-USY71-UTA71</f>
        <v/>
      </c>
      <c r="UTB71" s="533" t="n"/>
      <c r="UTC71" s="515" t="inlineStr">
        <is>
          <t>SEGUROS</t>
        </is>
      </c>
      <c r="UTD71" s="534" t="inlineStr">
        <is>
          <t>RIMAC SEGUROS</t>
        </is>
      </c>
      <c r="UTE71" s="447" t="n"/>
      <c r="UTF71" s="529" t="n">
        <v>1086478942</v>
      </c>
      <c r="UTG71" s="518" t="n"/>
      <c r="UTH71" s="519" t="n"/>
      <c r="UTI71" s="519" t="n">
        <v>45341</v>
      </c>
      <c r="UTL71" s="137" t="n">
        <v>218.95</v>
      </c>
      <c r="UTM71" s="30" t="n"/>
      <c r="UTN71" s="451" t="n"/>
      <c r="UTO71" s="34" t="n"/>
      <c r="UTP71" s="30" t="n"/>
      <c r="UTQ71" s="138">
        <f>+UTM71-UTO71-UTQ71</f>
        <v/>
      </c>
      <c r="UTR71" s="533" t="n"/>
      <c r="UTS71" s="515" t="inlineStr">
        <is>
          <t>SEGUROS</t>
        </is>
      </c>
      <c r="UTT71" s="534" t="inlineStr">
        <is>
          <t>RIMAC SEGUROS</t>
        </is>
      </c>
      <c r="UTU71" s="447" t="n"/>
      <c r="UTV71" s="529" t="n">
        <v>1086478942</v>
      </c>
      <c r="UTW71" s="518" t="n"/>
      <c r="UTX71" s="519" t="n"/>
      <c r="UTY71" s="519" t="n">
        <v>45341</v>
      </c>
      <c r="UUB71" s="137" t="n">
        <v>218.95</v>
      </c>
      <c r="UUC71" s="30" t="n"/>
      <c r="UUD71" s="451" t="n"/>
      <c r="UUE71" s="34" t="n"/>
      <c r="UUF71" s="30" t="n"/>
      <c r="UUG71" s="138">
        <f>+UUC71-UUE71-UUG71</f>
        <v/>
      </c>
      <c r="UUH71" s="533" t="n"/>
      <c r="UUI71" s="515" t="inlineStr">
        <is>
          <t>SEGUROS</t>
        </is>
      </c>
      <c r="UUJ71" s="534" t="inlineStr">
        <is>
          <t>RIMAC SEGUROS</t>
        </is>
      </c>
      <c r="UUK71" s="447" t="n"/>
      <c r="UUL71" s="529" t="n">
        <v>1086478942</v>
      </c>
      <c r="UUM71" s="518" t="n"/>
      <c r="UUN71" s="519" t="n"/>
      <c r="UUO71" s="519" t="n">
        <v>45341</v>
      </c>
      <c r="UUR71" s="137" t="n">
        <v>218.95</v>
      </c>
      <c r="UUS71" s="30" t="n"/>
      <c r="UUT71" s="451" t="n"/>
      <c r="UUU71" s="34" t="n"/>
      <c r="UUV71" s="30" t="n"/>
      <c r="UUW71" s="138">
        <f>+UUS71-UUU71-UUW71</f>
        <v/>
      </c>
      <c r="UUX71" s="533" t="n"/>
      <c r="UUY71" s="515" t="inlineStr">
        <is>
          <t>SEGUROS</t>
        </is>
      </c>
      <c r="UUZ71" s="534" t="inlineStr">
        <is>
          <t>RIMAC SEGUROS</t>
        </is>
      </c>
      <c r="UVA71" s="447" t="n"/>
      <c r="UVB71" s="529" t="n">
        <v>1086478942</v>
      </c>
      <c r="UVC71" s="518" t="n"/>
      <c r="UVD71" s="519" t="n"/>
      <c r="UVE71" s="519" t="n">
        <v>45341</v>
      </c>
      <c r="UVH71" s="137" t="n">
        <v>218.95</v>
      </c>
      <c r="UVI71" s="30" t="n"/>
      <c r="UVJ71" s="451" t="n"/>
      <c r="UVK71" s="34" t="n"/>
      <c r="UVL71" s="30" t="n"/>
      <c r="UVM71" s="138">
        <f>+UVI71-UVK71-UVM71</f>
        <v/>
      </c>
      <c r="UVN71" s="533" t="n"/>
      <c r="UVO71" s="515" t="inlineStr">
        <is>
          <t>SEGUROS</t>
        </is>
      </c>
      <c r="UVP71" s="534" t="inlineStr">
        <is>
          <t>RIMAC SEGUROS</t>
        </is>
      </c>
      <c r="UVQ71" s="447" t="n"/>
      <c r="UVR71" s="529" t="n">
        <v>1086478942</v>
      </c>
      <c r="UVS71" s="518" t="n"/>
      <c r="UVT71" s="519" t="n"/>
      <c r="UVU71" s="519" t="n">
        <v>45341</v>
      </c>
      <c r="UVX71" s="137" t="n">
        <v>218.95</v>
      </c>
      <c r="UVY71" s="30" t="n"/>
      <c r="UVZ71" s="451" t="n"/>
      <c r="UWA71" s="34" t="n"/>
      <c r="UWB71" s="30" t="n"/>
      <c r="UWC71" s="138">
        <f>+UVY71-UWA71-UWC71</f>
        <v/>
      </c>
      <c r="UWD71" s="533" t="n"/>
      <c r="UWE71" s="515" t="inlineStr">
        <is>
          <t>SEGUROS</t>
        </is>
      </c>
      <c r="UWF71" s="534" t="inlineStr">
        <is>
          <t>RIMAC SEGUROS</t>
        </is>
      </c>
      <c r="UWG71" s="447" t="n"/>
      <c r="UWH71" s="529" t="n">
        <v>1086478942</v>
      </c>
      <c r="UWI71" s="518" t="n"/>
      <c r="UWJ71" s="519" t="n"/>
      <c r="UWK71" s="519" t="n">
        <v>45341</v>
      </c>
      <c r="UWN71" s="137" t="n">
        <v>218.95</v>
      </c>
      <c r="UWO71" s="30" t="n"/>
      <c r="UWP71" s="451" t="n"/>
      <c r="UWQ71" s="34" t="n"/>
      <c r="UWR71" s="30" t="n"/>
      <c r="UWS71" s="138">
        <f>+UWO71-UWQ71-UWS71</f>
        <v/>
      </c>
      <c r="UWT71" s="533" t="n"/>
      <c r="UWU71" s="515" t="inlineStr">
        <is>
          <t>SEGUROS</t>
        </is>
      </c>
      <c r="UWV71" s="534" t="inlineStr">
        <is>
          <t>RIMAC SEGUROS</t>
        </is>
      </c>
      <c r="UWW71" s="447" t="n"/>
      <c r="UWX71" s="529" t="n">
        <v>1086478942</v>
      </c>
      <c r="UWY71" s="518" t="n"/>
      <c r="UWZ71" s="519" t="n"/>
      <c r="UXA71" s="519" t="n">
        <v>45341</v>
      </c>
      <c r="UXD71" s="137" t="n">
        <v>218.95</v>
      </c>
      <c r="UXE71" s="30" t="n"/>
      <c r="UXF71" s="451" t="n"/>
      <c r="UXG71" s="34" t="n"/>
      <c r="UXH71" s="30" t="n"/>
      <c r="UXI71" s="138">
        <f>+UXE71-UXG71-UXI71</f>
        <v/>
      </c>
      <c r="UXJ71" s="533" t="n"/>
      <c r="UXK71" s="515" t="inlineStr">
        <is>
          <t>SEGUROS</t>
        </is>
      </c>
      <c r="UXL71" s="534" t="inlineStr">
        <is>
          <t>RIMAC SEGUROS</t>
        </is>
      </c>
      <c r="UXM71" s="447" t="n"/>
      <c r="UXN71" s="529" t="n">
        <v>1086478942</v>
      </c>
      <c r="UXO71" s="518" t="n"/>
      <c r="UXP71" s="519" t="n"/>
      <c r="UXQ71" s="519" t="n">
        <v>45341</v>
      </c>
      <c r="UXT71" s="137" t="n">
        <v>218.95</v>
      </c>
      <c r="UXU71" s="30" t="n"/>
      <c r="UXV71" s="451" t="n"/>
      <c r="UXW71" s="34" t="n"/>
      <c r="UXX71" s="30" t="n"/>
      <c r="UXY71" s="138">
        <f>+UXU71-UXW71-UXY71</f>
        <v/>
      </c>
      <c r="UXZ71" s="533" t="n"/>
      <c r="UYA71" s="515" t="inlineStr">
        <is>
          <t>SEGUROS</t>
        </is>
      </c>
      <c r="UYB71" s="534" t="inlineStr">
        <is>
          <t>RIMAC SEGUROS</t>
        </is>
      </c>
      <c r="UYC71" s="447" t="n"/>
      <c r="UYD71" s="529" t="n">
        <v>1086478942</v>
      </c>
      <c r="UYE71" s="518" t="n"/>
      <c r="UYF71" s="519" t="n"/>
      <c r="UYG71" s="519" t="n">
        <v>45341</v>
      </c>
      <c r="UYJ71" s="137" t="n">
        <v>218.95</v>
      </c>
      <c r="UYK71" s="30" t="n"/>
      <c r="UYL71" s="451" t="n"/>
      <c r="UYM71" s="34" t="n"/>
      <c r="UYN71" s="30" t="n"/>
      <c r="UYO71" s="138">
        <f>+UYK71-UYM71-UYO71</f>
        <v/>
      </c>
      <c r="UYP71" s="533" t="n"/>
      <c r="UYQ71" s="515" t="inlineStr">
        <is>
          <t>SEGUROS</t>
        </is>
      </c>
      <c r="UYR71" s="534" t="inlineStr">
        <is>
          <t>RIMAC SEGUROS</t>
        </is>
      </c>
      <c r="UYS71" s="447" t="n"/>
      <c r="UYT71" s="529" t="n">
        <v>1086478942</v>
      </c>
      <c r="UYU71" s="518" t="n"/>
      <c r="UYV71" s="519" t="n"/>
      <c r="UYW71" s="519" t="n">
        <v>45341</v>
      </c>
      <c r="UYZ71" s="137" t="n">
        <v>218.95</v>
      </c>
      <c r="UZA71" s="30" t="n"/>
      <c r="UZB71" s="451" t="n"/>
      <c r="UZC71" s="34" t="n"/>
      <c r="UZD71" s="30" t="n"/>
      <c r="UZE71" s="138">
        <f>+UZA71-UZC71-UZE71</f>
        <v/>
      </c>
      <c r="UZF71" s="533" t="n"/>
      <c r="UZG71" s="515" t="inlineStr">
        <is>
          <t>SEGUROS</t>
        </is>
      </c>
      <c r="UZH71" s="534" t="inlineStr">
        <is>
          <t>RIMAC SEGUROS</t>
        </is>
      </c>
      <c r="UZI71" s="447" t="n"/>
      <c r="UZJ71" s="529" t="n">
        <v>1086478942</v>
      </c>
      <c r="UZK71" s="518" t="n"/>
      <c r="UZL71" s="519" t="n"/>
      <c r="UZM71" s="519" t="n">
        <v>45341</v>
      </c>
      <c r="UZP71" s="137" t="n">
        <v>218.95</v>
      </c>
      <c r="UZQ71" s="30" t="n"/>
      <c r="UZR71" s="451" t="n"/>
      <c r="UZS71" s="34" t="n"/>
      <c r="UZT71" s="30" t="n"/>
      <c r="UZU71" s="138">
        <f>+UZQ71-UZS71-UZU71</f>
        <v/>
      </c>
      <c r="UZV71" s="533" t="n"/>
      <c r="UZW71" s="515" t="inlineStr">
        <is>
          <t>SEGUROS</t>
        </is>
      </c>
      <c r="UZX71" s="534" t="inlineStr">
        <is>
          <t>RIMAC SEGUROS</t>
        </is>
      </c>
      <c r="UZY71" s="447" t="n"/>
      <c r="UZZ71" s="529" t="n">
        <v>1086478942</v>
      </c>
      <c r="VAA71" s="518" t="n"/>
      <c r="VAB71" s="519" t="n"/>
      <c r="VAC71" s="519" t="n">
        <v>45341</v>
      </c>
      <c r="VAF71" s="137" t="n">
        <v>218.95</v>
      </c>
      <c r="VAG71" s="30" t="n"/>
      <c r="VAH71" s="451" t="n"/>
      <c r="VAI71" s="34" t="n"/>
      <c r="VAJ71" s="30" t="n"/>
      <c r="VAK71" s="138">
        <f>+VAG71-VAI71-VAK71</f>
        <v/>
      </c>
      <c r="VAL71" s="533" t="n"/>
      <c r="VAM71" s="515" t="inlineStr">
        <is>
          <t>SEGUROS</t>
        </is>
      </c>
      <c r="VAN71" s="534" t="inlineStr">
        <is>
          <t>RIMAC SEGUROS</t>
        </is>
      </c>
      <c r="VAO71" s="447" t="n"/>
      <c r="VAP71" s="529" t="n">
        <v>1086478942</v>
      </c>
      <c r="VAQ71" s="518" t="n"/>
      <c r="VAR71" s="519" t="n"/>
      <c r="VAS71" s="519" t="n">
        <v>45341</v>
      </c>
      <c r="VAV71" s="137" t="n">
        <v>218.95</v>
      </c>
      <c r="VAW71" s="30" t="n"/>
      <c r="VAX71" s="451" t="n"/>
      <c r="VAY71" s="34" t="n"/>
      <c r="VAZ71" s="30" t="n"/>
      <c r="VBA71" s="138">
        <f>+VAW71-VAY71-VBA71</f>
        <v/>
      </c>
      <c r="VBB71" s="533" t="n"/>
      <c r="VBC71" s="515" t="inlineStr">
        <is>
          <t>SEGUROS</t>
        </is>
      </c>
      <c r="VBD71" s="534" t="inlineStr">
        <is>
          <t>RIMAC SEGUROS</t>
        </is>
      </c>
      <c r="VBE71" s="447" t="n"/>
      <c r="VBF71" s="529" t="n">
        <v>1086478942</v>
      </c>
      <c r="VBG71" s="518" t="n"/>
      <c r="VBH71" s="519" t="n"/>
      <c r="VBI71" s="519" t="n">
        <v>45341</v>
      </c>
      <c r="VBL71" s="137" t="n">
        <v>218.95</v>
      </c>
      <c r="VBM71" s="30" t="n"/>
      <c r="VBN71" s="451" t="n"/>
      <c r="VBO71" s="34" t="n"/>
      <c r="VBP71" s="30" t="n"/>
      <c r="VBQ71" s="138">
        <f>+VBM71-VBO71-VBQ71</f>
        <v/>
      </c>
      <c r="VBR71" s="533" t="n"/>
      <c r="VBS71" s="515" t="inlineStr">
        <is>
          <t>SEGUROS</t>
        </is>
      </c>
      <c r="VBT71" s="534" t="inlineStr">
        <is>
          <t>RIMAC SEGUROS</t>
        </is>
      </c>
      <c r="VBU71" s="447" t="n"/>
      <c r="VBV71" s="529" t="n">
        <v>1086478942</v>
      </c>
      <c r="VBW71" s="518" t="n"/>
      <c r="VBX71" s="519" t="n"/>
      <c r="VBY71" s="519" t="n">
        <v>45341</v>
      </c>
      <c r="VCB71" s="137" t="n">
        <v>218.95</v>
      </c>
      <c r="VCC71" s="30" t="n"/>
      <c r="VCD71" s="451" t="n"/>
      <c r="VCE71" s="34" t="n"/>
      <c r="VCF71" s="30" t="n"/>
      <c r="VCG71" s="138">
        <f>+VCC71-VCE71-VCG71</f>
        <v/>
      </c>
      <c r="VCH71" s="533" t="n"/>
      <c r="VCI71" s="515" t="inlineStr">
        <is>
          <t>SEGUROS</t>
        </is>
      </c>
      <c r="VCJ71" s="534" t="inlineStr">
        <is>
          <t>RIMAC SEGUROS</t>
        </is>
      </c>
      <c r="VCK71" s="447" t="n"/>
      <c r="VCL71" s="529" t="n">
        <v>1086478942</v>
      </c>
      <c r="VCM71" s="518" t="n"/>
      <c r="VCN71" s="519" t="n"/>
      <c r="VCO71" s="519" t="n">
        <v>45341</v>
      </c>
      <c r="VCR71" s="137" t="n">
        <v>218.95</v>
      </c>
      <c r="VCS71" s="30" t="n"/>
      <c r="VCT71" s="451" t="n"/>
      <c r="VCU71" s="34" t="n"/>
      <c r="VCV71" s="30" t="n"/>
      <c r="VCW71" s="138">
        <f>+VCS71-VCU71-VCW71</f>
        <v/>
      </c>
      <c r="VCX71" s="533" t="n"/>
      <c r="VCY71" s="515" t="inlineStr">
        <is>
          <t>SEGUROS</t>
        </is>
      </c>
      <c r="VCZ71" s="534" t="inlineStr">
        <is>
          <t>RIMAC SEGUROS</t>
        </is>
      </c>
      <c r="VDA71" s="447" t="n"/>
      <c r="VDB71" s="529" t="n">
        <v>1086478942</v>
      </c>
      <c r="VDC71" s="518" t="n"/>
      <c r="VDD71" s="519" t="n"/>
      <c r="VDE71" s="519" t="n">
        <v>45341</v>
      </c>
      <c r="VDH71" s="137" t="n">
        <v>218.95</v>
      </c>
      <c r="VDI71" s="30" t="n"/>
      <c r="VDJ71" s="451" t="n"/>
      <c r="VDK71" s="34" t="n"/>
      <c r="VDL71" s="30" t="n"/>
      <c r="VDM71" s="138">
        <f>+VDI71-VDK71-VDM71</f>
        <v/>
      </c>
      <c r="VDN71" s="533" t="n"/>
      <c r="VDO71" s="515" t="inlineStr">
        <is>
          <t>SEGUROS</t>
        </is>
      </c>
      <c r="VDP71" s="534" t="inlineStr">
        <is>
          <t>RIMAC SEGUROS</t>
        </is>
      </c>
      <c r="VDQ71" s="447" t="n"/>
      <c r="VDR71" s="529" t="n">
        <v>1086478942</v>
      </c>
      <c r="VDS71" s="518" t="n"/>
      <c r="VDT71" s="519" t="n"/>
      <c r="VDU71" s="519" t="n">
        <v>45341</v>
      </c>
      <c r="VDX71" s="137" t="n">
        <v>218.95</v>
      </c>
      <c r="VDY71" s="30" t="n"/>
      <c r="VDZ71" s="451" t="n"/>
      <c r="VEA71" s="34" t="n"/>
      <c r="VEB71" s="30" t="n"/>
      <c r="VEC71" s="138">
        <f>+VDY71-VEA71-VEC71</f>
        <v/>
      </c>
      <c r="VED71" s="533" t="n"/>
      <c r="VEE71" s="515" t="inlineStr">
        <is>
          <t>SEGUROS</t>
        </is>
      </c>
      <c r="VEF71" s="534" t="inlineStr">
        <is>
          <t>RIMAC SEGUROS</t>
        </is>
      </c>
      <c r="VEG71" s="447" t="n"/>
      <c r="VEH71" s="529" t="n">
        <v>1086478942</v>
      </c>
      <c r="VEI71" s="518" t="n"/>
      <c r="VEJ71" s="519" t="n"/>
      <c r="VEK71" s="519" t="n">
        <v>45341</v>
      </c>
      <c r="VEN71" s="137" t="n">
        <v>218.95</v>
      </c>
      <c r="VEO71" s="30" t="n"/>
      <c r="VEP71" s="451" t="n"/>
      <c r="VEQ71" s="34" t="n"/>
      <c r="VER71" s="30" t="n"/>
      <c r="VES71" s="138">
        <f>+VEO71-VEQ71-VES71</f>
        <v/>
      </c>
      <c r="VET71" s="533" t="n"/>
      <c r="VEU71" s="515" t="inlineStr">
        <is>
          <t>SEGUROS</t>
        </is>
      </c>
      <c r="VEV71" s="534" t="inlineStr">
        <is>
          <t>RIMAC SEGUROS</t>
        </is>
      </c>
      <c r="VEW71" s="447" t="n"/>
      <c r="VEX71" s="529" t="n">
        <v>1086478942</v>
      </c>
      <c r="VEY71" s="518" t="n"/>
      <c r="VEZ71" s="519" t="n"/>
      <c r="VFA71" s="519" t="n">
        <v>45341</v>
      </c>
      <c r="VFD71" s="137" t="n">
        <v>218.95</v>
      </c>
      <c r="VFE71" s="30" t="n"/>
      <c r="VFF71" s="451" t="n"/>
      <c r="VFG71" s="34" t="n"/>
      <c r="VFH71" s="30" t="n"/>
      <c r="VFI71" s="138">
        <f>+VFE71-VFG71-VFI71</f>
        <v/>
      </c>
      <c r="VFJ71" s="533" t="n"/>
      <c r="VFK71" s="515" t="inlineStr">
        <is>
          <t>SEGUROS</t>
        </is>
      </c>
      <c r="VFL71" s="534" t="inlineStr">
        <is>
          <t>RIMAC SEGUROS</t>
        </is>
      </c>
      <c r="VFM71" s="447" t="n"/>
      <c r="VFN71" s="529" t="n">
        <v>1086478942</v>
      </c>
      <c r="VFO71" s="518" t="n"/>
      <c r="VFP71" s="519" t="n"/>
      <c r="VFQ71" s="519" t="n">
        <v>45341</v>
      </c>
      <c r="VFT71" s="137" t="n">
        <v>218.95</v>
      </c>
      <c r="VFU71" s="30" t="n"/>
      <c r="VFV71" s="451" t="n"/>
      <c r="VFW71" s="34" t="n"/>
      <c r="VFX71" s="30" t="n"/>
      <c r="VFY71" s="138">
        <f>+VFU71-VFW71-VFY71</f>
        <v/>
      </c>
      <c r="VFZ71" s="533" t="n"/>
      <c r="VGA71" s="515" t="inlineStr">
        <is>
          <t>SEGUROS</t>
        </is>
      </c>
      <c r="VGB71" s="534" t="inlineStr">
        <is>
          <t>RIMAC SEGUROS</t>
        </is>
      </c>
      <c r="VGC71" s="447" t="n"/>
      <c r="VGD71" s="529" t="n">
        <v>1086478942</v>
      </c>
      <c r="VGE71" s="518" t="n"/>
      <c r="VGF71" s="519" t="n"/>
      <c r="VGG71" s="519" t="n">
        <v>45341</v>
      </c>
      <c r="VGJ71" s="137" t="n">
        <v>218.95</v>
      </c>
      <c r="VGK71" s="30" t="n"/>
      <c r="VGL71" s="451" t="n"/>
      <c r="VGM71" s="34" t="n"/>
      <c r="VGN71" s="30" t="n"/>
      <c r="VGO71" s="138">
        <f>+VGK71-VGM71-VGO71</f>
        <v/>
      </c>
      <c r="VGP71" s="533" t="n"/>
      <c r="VGQ71" s="515" t="inlineStr">
        <is>
          <t>SEGUROS</t>
        </is>
      </c>
      <c r="VGR71" s="534" t="inlineStr">
        <is>
          <t>RIMAC SEGUROS</t>
        </is>
      </c>
      <c r="VGS71" s="447" t="n"/>
      <c r="VGT71" s="529" t="n">
        <v>1086478942</v>
      </c>
      <c r="VGU71" s="518" t="n"/>
      <c r="VGV71" s="519" t="n"/>
      <c r="VGW71" s="519" t="n">
        <v>45341</v>
      </c>
      <c r="VGZ71" s="137" t="n">
        <v>218.95</v>
      </c>
      <c r="VHA71" s="30" t="n"/>
      <c r="VHB71" s="451" t="n"/>
      <c r="VHC71" s="34" t="n"/>
      <c r="VHD71" s="30" t="n"/>
      <c r="VHE71" s="138">
        <f>+VHA71-VHC71-VHE71</f>
        <v/>
      </c>
      <c r="VHF71" s="533" t="n"/>
      <c r="VHG71" s="515" t="inlineStr">
        <is>
          <t>SEGUROS</t>
        </is>
      </c>
      <c r="VHH71" s="534" t="inlineStr">
        <is>
          <t>RIMAC SEGUROS</t>
        </is>
      </c>
      <c r="VHI71" s="447" t="n"/>
      <c r="VHJ71" s="529" t="n">
        <v>1086478942</v>
      </c>
      <c r="VHK71" s="518" t="n"/>
      <c r="VHL71" s="519" t="n"/>
      <c r="VHM71" s="519" t="n">
        <v>45341</v>
      </c>
      <c r="VHP71" s="137" t="n">
        <v>218.95</v>
      </c>
      <c r="VHQ71" s="30" t="n"/>
      <c r="VHR71" s="451" t="n"/>
      <c r="VHS71" s="34" t="n"/>
      <c r="VHT71" s="30" t="n"/>
      <c r="VHU71" s="138">
        <f>+VHQ71-VHS71-VHU71</f>
        <v/>
      </c>
      <c r="VHV71" s="533" t="n"/>
      <c r="VHW71" s="515" t="inlineStr">
        <is>
          <t>SEGUROS</t>
        </is>
      </c>
      <c r="VHX71" s="534" t="inlineStr">
        <is>
          <t>RIMAC SEGUROS</t>
        </is>
      </c>
      <c r="VHY71" s="447" t="n"/>
      <c r="VHZ71" s="529" t="n">
        <v>1086478942</v>
      </c>
      <c r="VIA71" s="518" t="n"/>
      <c r="VIB71" s="519" t="n"/>
      <c r="VIC71" s="519" t="n">
        <v>45341</v>
      </c>
      <c r="VIF71" s="137" t="n">
        <v>218.95</v>
      </c>
      <c r="VIG71" s="30" t="n"/>
      <c r="VIH71" s="451" t="n"/>
      <c r="VII71" s="34" t="n"/>
      <c r="VIJ71" s="30" t="n"/>
      <c r="VIK71" s="138">
        <f>+VIG71-VII71-VIK71</f>
        <v/>
      </c>
      <c r="VIL71" s="533" t="n"/>
      <c r="VIM71" s="515" t="inlineStr">
        <is>
          <t>SEGUROS</t>
        </is>
      </c>
      <c r="VIN71" s="534" t="inlineStr">
        <is>
          <t>RIMAC SEGUROS</t>
        </is>
      </c>
      <c r="VIO71" s="447" t="n"/>
      <c r="VIP71" s="529" t="n">
        <v>1086478942</v>
      </c>
      <c r="VIQ71" s="518" t="n"/>
      <c r="VIR71" s="519" t="n"/>
      <c r="VIS71" s="519" t="n">
        <v>45341</v>
      </c>
      <c r="VIV71" s="137" t="n">
        <v>218.95</v>
      </c>
      <c r="VIW71" s="30" t="n"/>
      <c r="VIX71" s="451" t="n"/>
      <c r="VIY71" s="34" t="n"/>
      <c r="VIZ71" s="30" t="n"/>
      <c r="VJA71" s="138">
        <f>+VIW71-VIY71-VJA71</f>
        <v/>
      </c>
      <c r="VJB71" s="533" t="n"/>
      <c r="VJC71" s="515" t="inlineStr">
        <is>
          <t>SEGUROS</t>
        </is>
      </c>
      <c r="VJD71" s="534" t="inlineStr">
        <is>
          <t>RIMAC SEGUROS</t>
        </is>
      </c>
      <c r="VJE71" s="447" t="n"/>
      <c r="VJF71" s="529" t="n">
        <v>1086478942</v>
      </c>
      <c r="VJG71" s="518" t="n"/>
      <c r="VJH71" s="519" t="n"/>
      <c r="VJI71" s="519" t="n">
        <v>45341</v>
      </c>
      <c r="VJL71" s="137" t="n">
        <v>218.95</v>
      </c>
      <c r="VJM71" s="30" t="n"/>
      <c r="VJN71" s="451" t="n"/>
      <c r="VJO71" s="34" t="n"/>
      <c r="VJP71" s="30" t="n"/>
      <c r="VJQ71" s="138">
        <f>+VJM71-VJO71-VJQ71</f>
        <v/>
      </c>
      <c r="VJR71" s="533" t="n"/>
      <c r="VJS71" s="515" t="inlineStr">
        <is>
          <t>SEGUROS</t>
        </is>
      </c>
      <c r="VJT71" s="534" t="inlineStr">
        <is>
          <t>RIMAC SEGUROS</t>
        </is>
      </c>
      <c r="VJU71" s="447" t="n"/>
      <c r="VJV71" s="529" t="n">
        <v>1086478942</v>
      </c>
      <c r="VJW71" s="518" t="n"/>
      <c r="VJX71" s="519" t="n"/>
      <c r="VJY71" s="519" t="n">
        <v>45341</v>
      </c>
      <c r="VKB71" s="137" t="n">
        <v>218.95</v>
      </c>
      <c r="VKC71" s="30" t="n"/>
      <c r="VKD71" s="451" t="n"/>
      <c r="VKE71" s="34" t="n"/>
      <c r="VKF71" s="30" t="n"/>
      <c r="VKG71" s="138">
        <f>+VKC71-VKE71-VKG71</f>
        <v/>
      </c>
      <c r="VKH71" s="533" t="n"/>
      <c r="VKI71" s="515" t="inlineStr">
        <is>
          <t>SEGUROS</t>
        </is>
      </c>
      <c r="VKJ71" s="534" t="inlineStr">
        <is>
          <t>RIMAC SEGUROS</t>
        </is>
      </c>
      <c r="VKK71" s="447" t="n"/>
      <c r="VKL71" s="529" t="n">
        <v>1086478942</v>
      </c>
      <c r="VKM71" s="518" t="n"/>
      <c r="VKN71" s="519" t="n"/>
      <c r="VKO71" s="519" t="n">
        <v>45341</v>
      </c>
      <c r="VKR71" s="137" t="n">
        <v>218.95</v>
      </c>
      <c r="VKS71" s="30" t="n"/>
      <c r="VKT71" s="451" t="n"/>
      <c r="VKU71" s="34" t="n"/>
      <c r="VKV71" s="30" t="n"/>
      <c r="VKW71" s="138">
        <f>+VKS71-VKU71-VKW71</f>
        <v/>
      </c>
      <c r="VKX71" s="533" t="n"/>
      <c r="VKY71" s="515" t="inlineStr">
        <is>
          <t>SEGUROS</t>
        </is>
      </c>
      <c r="VKZ71" s="534" t="inlineStr">
        <is>
          <t>RIMAC SEGUROS</t>
        </is>
      </c>
      <c r="VLA71" s="447" t="n"/>
      <c r="VLB71" s="529" t="n">
        <v>1086478942</v>
      </c>
      <c r="VLC71" s="518" t="n"/>
      <c r="VLD71" s="519" t="n"/>
      <c r="VLE71" s="519" t="n">
        <v>45341</v>
      </c>
      <c r="VLH71" s="137" t="n">
        <v>218.95</v>
      </c>
      <c r="VLI71" s="30" t="n"/>
      <c r="VLJ71" s="451" t="n"/>
      <c r="VLK71" s="34" t="n"/>
      <c r="VLL71" s="30" t="n"/>
      <c r="VLM71" s="138">
        <f>+VLI71-VLK71-VLM71</f>
        <v/>
      </c>
      <c r="VLN71" s="533" t="n"/>
      <c r="VLO71" s="515" t="inlineStr">
        <is>
          <t>SEGUROS</t>
        </is>
      </c>
      <c r="VLP71" s="534" t="inlineStr">
        <is>
          <t>RIMAC SEGUROS</t>
        </is>
      </c>
      <c r="VLQ71" s="447" t="n"/>
      <c r="VLR71" s="529" t="n">
        <v>1086478942</v>
      </c>
      <c r="VLS71" s="518" t="n"/>
      <c r="VLT71" s="519" t="n"/>
      <c r="VLU71" s="519" t="n">
        <v>45341</v>
      </c>
      <c r="VLX71" s="137" t="n">
        <v>218.95</v>
      </c>
      <c r="VLY71" s="30" t="n"/>
      <c r="VLZ71" s="451" t="n"/>
      <c r="VMA71" s="34" t="n"/>
      <c r="VMB71" s="30" t="n"/>
      <c r="VMC71" s="138">
        <f>+VLY71-VMA71-VMC71</f>
        <v/>
      </c>
      <c r="VMD71" s="533" t="n"/>
      <c r="VME71" s="515" t="inlineStr">
        <is>
          <t>SEGUROS</t>
        </is>
      </c>
      <c r="VMF71" s="534" t="inlineStr">
        <is>
          <t>RIMAC SEGUROS</t>
        </is>
      </c>
      <c r="VMG71" s="447" t="n"/>
      <c r="VMH71" s="529" t="n">
        <v>1086478942</v>
      </c>
      <c r="VMI71" s="518" t="n"/>
      <c r="VMJ71" s="519" t="n"/>
      <c r="VMK71" s="519" t="n">
        <v>45341</v>
      </c>
      <c r="VMN71" s="137" t="n">
        <v>218.95</v>
      </c>
      <c r="VMO71" s="30" t="n"/>
      <c r="VMP71" s="451" t="n"/>
      <c r="VMQ71" s="34" t="n"/>
      <c r="VMR71" s="30" t="n"/>
      <c r="VMS71" s="138">
        <f>+VMO71-VMQ71-VMS71</f>
        <v/>
      </c>
      <c r="VMT71" s="533" t="n"/>
      <c r="VMU71" s="515" t="inlineStr">
        <is>
          <t>SEGUROS</t>
        </is>
      </c>
      <c r="VMV71" s="534" t="inlineStr">
        <is>
          <t>RIMAC SEGUROS</t>
        </is>
      </c>
      <c r="VMW71" s="447" t="n"/>
      <c r="VMX71" s="529" t="n">
        <v>1086478942</v>
      </c>
      <c r="VMY71" s="518" t="n"/>
      <c r="VMZ71" s="519" t="n"/>
      <c r="VNA71" s="519" t="n">
        <v>45341</v>
      </c>
      <c r="VND71" s="137" t="n">
        <v>218.95</v>
      </c>
      <c r="VNE71" s="30" t="n"/>
      <c r="VNF71" s="451" t="n"/>
      <c r="VNG71" s="34" t="n"/>
      <c r="VNH71" s="30" t="n"/>
      <c r="VNI71" s="138">
        <f>+VNE71-VNG71-VNI71</f>
        <v/>
      </c>
      <c r="VNJ71" s="533" t="n"/>
      <c r="VNK71" s="515" t="inlineStr">
        <is>
          <t>SEGUROS</t>
        </is>
      </c>
      <c r="VNL71" s="534" t="inlineStr">
        <is>
          <t>RIMAC SEGUROS</t>
        </is>
      </c>
      <c r="VNM71" s="447" t="n"/>
      <c r="VNN71" s="529" t="n">
        <v>1086478942</v>
      </c>
      <c r="VNO71" s="518" t="n"/>
      <c r="VNP71" s="519" t="n"/>
      <c r="VNQ71" s="519" t="n">
        <v>45341</v>
      </c>
      <c r="VNT71" s="137" t="n">
        <v>218.95</v>
      </c>
      <c r="VNU71" s="30" t="n"/>
      <c r="VNV71" s="451" t="n"/>
      <c r="VNW71" s="34" t="n"/>
      <c r="VNX71" s="30" t="n"/>
      <c r="VNY71" s="138">
        <f>+VNU71-VNW71-VNY71</f>
        <v/>
      </c>
      <c r="VNZ71" s="533" t="n"/>
      <c r="VOA71" s="515" t="inlineStr">
        <is>
          <t>SEGUROS</t>
        </is>
      </c>
      <c r="VOB71" s="534" t="inlineStr">
        <is>
          <t>RIMAC SEGUROS</t>
        </is>
      </c>
      <c r="VOC71" s="447" t="n"/>
      <c r="VOD71" s="529" t="n">
        <v>1086478942</v>
      </c>
      <c r="VOE71" s="518" t="n"/>
      <c r="VOF71" s="519" t="n"/>
      <c r="VOG71" s="519" t="n">
        <v>45341</v>
      </c>
      <c r="VOJ71" s="137" t="n">
        <v>218.95</v>
      </c>
      <c r="VOK71" s="30" t="n"/>
      <c r="VOL71" s="451" t="n"/>
      <c r="VOM71" s="34" t="n"/>
      <c r="VON71" s="30" t="n"/>
      <c r="VOO71" s="138">
        <f>+VOK71-VOM71-VOO71</f>
        <v/>
      </c>
      <c r="VOP71" s="533" t="n"/>
      <c r="VOQ71" s="515" t="inlineStr">
        <is>
          <t>SEGUROS</t>
        </is>
      </c>
      <c r="VOR71" s="534" t="inlineStr">
        <is>
          <t>RIMAC SEGUROS</t>
        </is>
      </c>
      <c r="VOS71" s="447" t="n"/>
      <c r="VOT71" s="529" t="n">
        <v>1086478942</v>
      </c>
      <c r="VOU71" s="518" t="n"/>
      <c r="VOV71" s="519" t="n"/>
      <c r="VOW71" s="519" t="n">
        <v>45341</v>
      </c>
      <c r="VOZ71" s="137" t="n">
        <v>218.95</v>
      </c>
      <c r="VPA71" s="30" t="n"/>
      <c r="VPB71" s="451" t="n"/>
      <c r="VPC71" s="34" t="n"/>
      <c r="VPD71" s="30" t="n"/>
      <c r="VPE71" s="138">
        <f>+VPA71-VPC71-VPE71</f>
        <v/>
      </c>
      <c r="VPF71" s="533" t="n"/>
      <c r="VPG71" s="515" t="inlineStr">
        <is>
          <t>SEGUROS</t>
        </is>
      </c>
      <c r="VPH71" s="534" t="inlineStr">
        <is>
          <t>RIMAC SEGUROS</t>
        </is>
      </c>
      <c r="VPI71" s="447" t="n"/>
      <c r="VPJ71" s="529" t="n">
        <v>1086478942</v>
      </c>
      <c r="VPK71" s="518" t="n"/>
      <c r="VPL71" s="519" t="n"/>
      <c r="VPM71" s="519" t="n">
        <v>45341</v>
      </c>
      <c r="VPP71" s="137" t="n">
        <v>218.95</v>
      </c>
      <c r="VPQ71" s="30" t="n"/>
      <c r="VPR71" s="451" t="n"/>
      <c r="VPS71" s="34" t="n"/>
      <c r="VPT71" s="30" t="n"/>
      <c r="VPU71" s="138">
        <f>+VPQ71-VPS71-VPU71</f>
        <v/>
      </c>
      <c r="VPV71" s="533" t="n"/>
      <c r="VPW71" s="515" t="inlineStr">
        <is>
          <t>SEGUROS</t>
        </is>
      </c>
      <c r="VPX71" s="534" t="inlineStr">
        <is>
          <t>RIMAC SEGUROS</t>
        </is>
      </c>
      <c r="VPY71" s="447" t="n"/>
      <c r="VPZ71" s="529" t="n">
        <v>1086478942</v>
      </c>
      <c r="VQA71" s="518" t="n"/>
      <c r="VQB71" s="519" t="n"/>
      <c r="VQC71" s="519" t="n">
        <v>45341</v>
      </c>
      <c r="VQF71" s="137" t="n">
        <v>218.95</v>
      </c>
      <c r="VQG71" s="30" t="n"/>
      <c r="VQH71" s="451" t="n"/>
      <c r="VQI71" s="34" t="n"/>
      <c r="VQJ71" s="30" t="n"/>
      <c r="VQK71" s="138">
        <f>+VQG71-VQI71-VQK71</f>
        <v/>
      </c>
      <c r="VQL71" s="533" t="n"/>
      <c r="VQM71" s="515" t="inlineStr">
        <is>
          <t>SEGUROS</t>
        </is>
      </c>
      <c r="VQN71" s="534" t="inlineStr">
        <is>
          <t>RIMAC SEGUROS</t>
        </is>
      </c>
      <c r="VQO71" s="447" t="n"/>
      <c r="VQP71" s="529" t="n">
        <v>1086478942</v>
      </c>
      <c r="VQQ71" s="518" t="n"/>
      <c r="VQR71" s="519" t="n"/>
      <c r="VQS71" s="519" t="n">
        <v>45341</v>
      </c>
      <c r="VQV71" s="137" t="n">
        <v>218.95</v>
      </c>
      <c r="VQW71" s="30" t="n"/>
      <c r="VQX71" s="451" t="n"/>
      <c r="VQY71" s="34" t="n"/>
      <c r="VQZ71" s="30" t="n"/>
      <c r="VRA71" s="138">
        <f>+VQW71-VQY71-VRA71</f>
        <v/>
      </c>
      <c r="VRB71" s="533" t="n"/>
      <c r="VRC71" s="515" t="inlineStr">
        <is>
          <t>SEGUROS</t>
        </is>
      </c>
      <c r="VRD71" s="534" t="inlineStr">
        <is>
          <t>RIMAC SEGUROS</t>
        </is>
      </c>
      <c r="VRE71" s="447" t="n"/>
      <c r="VRF71" s="529" t="n">
        <v>1086478942</v>
      </c>
      <c r="VRG71" s="518" t="n"/>
      <c r="VRH71" s="519" t="n"/>
      <c r="VRI71" s="519" t="n">
        <v>45341</v>
      </c>
      <c r="VRL71" s="137" t="n">
        <v>218.95</v>
      </c>
      <c r="VRM71" s="30" t="n"/>
      <c r="VRN71" s="451" t="n"/>
      <c r="VRO71" s="34" t="n"/>
      <c r="VRP71" s="30" t="n"/>
      <c r="VRQ71" s="138">
        <f>+VRM71-VRO71-VRQ71</f>
        <v/>
      </c>
      <c r="VRR71" s="533" t="n"/>
      <c r="VRS71" s="515" t="inlineStr">
        <is>
          <t>SEGUROS</t>
        </is>
      </c>
      <c r="VRT71" s="534" t="inlineStr">
        <is>
          <t>RIMAC SEGUROS</t>
        </is>
      </c>
      <c r="VRU71" s="447" t="n"/>
      <c r="VRV71" s="529" t="n">
        <v>1086478942</v>
      </c>
      <c r="VRW71" s="518" t="n"/>
      <c r="VRX71" s="519" t="n"/>
      <c r="VRY71" s="519" t="n">
        <v>45341</v>
      </c>
      <c r="VSB71" s="137" t="n">
        <v>218.95</v>
      </c>
      <c r="VSC71" s="30" t="n"/>
      <c r="VSD71" s="451" t="n"/>
      <c r="VSE71" s="34" t="n"/>
      <c r="VSF71" s="30" t="n"/>
      <c r="VSG71" s="138">
        <f>+VSC71-VSE71-VSG71</f>
        <v/>
      </c>
      <c r="VSH71" s="533" t="n"/>
      <c r="VSI71" s="515" t="inlineStr">
        <is>
          <t>SEGUROS</t>
        </is>
      </c>
      <c r="VSJ71" s="534" t="inlineStr">
        <is>
          <t>RIMAC SEGUROS</t>
        </is>
      </c>
      <c r="VSK71" s="447" t="n"/>
      <c r="VSL71" s="529" t="n">
        <v>1086478942</v>
      </c>
      <c r="VSM71" s="518" t="n"/>
      <c r="VSN71" s="519" t="n"/>
      <c r="VSO71" s="519" t="n">
        <v>45341</v>
      </c>
      <c r="VSR71" s="137" t="n">
        <v>218.95</v>
      </c>
      <c r="VSS71" s="30" t="n"/>
      <c r="VST71" s="451" t="n"/>
      <c r="VSU71" s="34" t="n"/>
      <c r="VSV71" s="30" t="n"/>
      <c r="VSW71" s="138">
        <f>+VSS71-VSU71-VSW71</f>
        <v/>
      </c>
      <c r="VSX71" s="533" t="n"/>
      <c r="VSY71" s="515" t="inlineStr">
        <is>
          <t>SEGUROS</t>
        </is>
      </c>
      <c r="VSZ71" s="534" t="inlineStr">
        <is>
          <t>RIMAC SEGUROS</t>
        </is>
      </c>
      <c r="VTA71" s="447" t="n"/>
      <c r="VTB71" s="529" t="n">
        <v>1086478942</v>
      </c>
      <c r="VTC71" s="518" t="n"/>
      <c r="VTD71" s="519" t="n"/>
      <c r="VTE71" s="519" t="n">
        <v>45341</v>
      </c>
      <c r="VTH71" s="137" t="n">
        <v>218.95</v>
      </c>
      <c r="VTI71" s="30" t="n"/>
      <c r="VTJ71" s="451" t="n"/>
      <c r="VTK71" s="34" t="n"/>
      <c r="VTL71" s="30" t="n"/>
      <c r="VTM71" s="138">
        <f>+VTI71-VTK71-VTM71</f>
        <v/>
      </c>
      <c r="VTN71" s="533" t="n"/>
      <c r="VTO71" s="515" t="inlineStr">
        <is>
          <t>SEGUROS</t>
        </is>
      </c>
      <c r="VTP71" s="534" t="inlineStr">
        <is>
          <t>RIMAC SEGUROS</t>
        </is>
      </c>
      <c r="VTQ71" s="447" t="n"/>
      <c r="VTR71" s="529" t="n">
        <v>1086478942</v>
      </c>
      <c r="VTS71" s="518" t="n"/>
      <c r="VTT71" s="519" t="n"/>
      <c r="VTU71" s="519" t="n">
        <v>45341</v>
      </c>
      <c r="VTX71" s="137" t="n">
        <v>218.95</v>
      </c>
      <c r="VTY71" s="30" t="n"/>
      <c r="VTZ71" s="451" t="n"/>
      <c r="VUA71" s="34" t="n"/>
      <c r="VUB71" s="30" t="n"/>
      <c r="VUC71" s="138">
        <f>+VTY71-VUA71-VUC71</f>
        <v/>
      </c>
      <c r="VUD71" s="533" t="n"/>
      <c r="VUE71" s="515" t="inlineStr">
        <is>
          <t>SEGUROS</t>
        </is>
      </c>
      <c r="VUF71" s="534" t="inlineStr">
        <is>
          <t>RIMAC SEGUROS</t>
        </is>
      </c>
      <c r="VUG71" s="447" t="n"/>
      <c r="VUH71" s="529" t="n">
        <v>1086478942</v>
      </c>
      <c r="VUI71" s="518" t="n"/>
      <c r="VUJ71" s="519" t="n"/>
      <c r="VUK71" s="519" t="n">
        <v>45341</v>
      </c>
      <c r="VUN71" s="137" t="n">
        <v>218.95</v>
      </c>
      <c r="VUO71" s="30" t="n"/>
      <c r="VUP71" s="451" t="n"/>
      <c r="VUQ71" s="34" t="n"/>
      <c r="VUR71" s="30" t="n"/>
      <c r="VUS71" s="138">
        <f>+VUO71-VUQ71-VUS71</f>
        <v/>
      </c>
      <c r="VUT71" s="533" t="n"/>
      <c r="VUU71" s="515" t="inlineStr">
        <is>
          <t>SEGUROS</t>
        </is>
      </c>
      <c r="VUV71" s="534" t="inlineStr">
        <is>
          <t>RIMAC SEGUROS</t>
        </is>
      </c>
      <c r="VUW71" s="447" t="n"/>
      <c r="VUX71" s="529" t="n">
        <v>1086478942</v>
      </c>
      <c r="VUY71" s="518" t="n"/>
      <c r="VUZ71" s="519" t="n"/>
      <c r="VVA71" s="519" t="n">
        <v>45341</v>
      </c>
      <c r="VVD71" s="137" t="n">
        <v>218.95</v>
      </c>
      <c r="VVE71" s="30" t="n"/>
      <c r="VVF71" s="451" t="n"/>
      <c r="VVG71" s="34" t="n"/>
      <c r="VVH71" s="30" t="n"/>
      <c r="VVI71" s="138">
        <f>+VVE71-VVG71-VVI71</f>
        <v/>
      </c>
      <c r="VVJ71" s="533" t="n"/>
      <c r="VVK71" s="515" t="inlineStr">
        <is>
          <t>SEGUROS</t>
        </is>
      </c>
      <c r="VVL71" s="534" t="inlineStr">
        <is>
          <t>RIMAC SEGUROS</t>
        </is>
      </c>
      <c r="VVM71" s="447" t="n"/>
      <c r="VVN71" s="529" t="n">
        <v>1086478942</v>
      </c>
      <c r="VVO71" s="518" t="n"/>
      <c r="VVP71" s="519" t="n"/>
      <c r="VVQ71" s="519" t="n">
        <v>45341</v>
      </c>
      <c r="VVT71" s="137" t="n">
        <v>218.95</v>
      </c>
      <c r="VVU71" s="30" t="n"/>
      <c r="VVV71" s="451" t="n"/>
      <c r="VVW71" s="34" t="n"/>
      <c r="VVX71" s="30" t="n"/>
      <c r="VVY71" s="138">
        <f>+VVU71-VVW71-VVY71</f>
        <v/>
      </c>
      <c r="VVZ71" s="533" t="n"/>
      <c r="VWA71" s="515" t="inlineStr">
        <is>
          <t>SEGUROS</t>
        </is>
      </c>
      <c r="VWB71" s="534" t="inlineStr">
        <is>
          <t>RIMAC SEGUROS</t>
        </is>
      </c>
      <c r="VWC71" s="447" t="n"/>
      <c r="VWD71" s="529" t="n">
        <v>1086478942</v>
      </c>
      <c r="VWE71" s="518" t="n"/>
      <c r="VWF71" s="519" t="n"/>
      <c r="VWG71" s="519" t="n">
        <v>45341</v>
      </c>
      <c r="VWJ71" s="137" t="n">
        <v>218.95</v>
      </c>
      <c r="VWK71" s="30" t="n"/>
      <c r="VWL71" s="451" t="n"/>
      <c r="VWM71" s="34" t="n"/>
      <c r="VWN71" s="30" t="n"/>
      <c r="VWO71" s="138">
        <f>+VWK71-VWM71-VWO71</f>
        <v/>
      </c>
      <c r="VWP71" s="533" t="n"/>
      <c r="VWQ71" s="515" t="inlineStr">
        <is>
          <t>SEGUROS</t>
        </is>
      </c>
      <c r="VWR71" s="534" t="inlineStr">
        <is>
          <t>RIMAC SEGUROS</t>
        </is>
      </c>
      <c r="VWS71" s="447" t="n"/>
      <c r="VWT71" s="529" t="n">
        <v>1086478942</v>
      </c>
      <c r="VWU71" s="518" t="n"/>
      <c r="VWV71" s="519" t="n"/>
      <c r="VWW71" s="519" t="n">
        <v>45341</v>
      </c>
      <c r="VWZ71" s="137" t="n">
        <v>218.95</v>
      </c>
      <c r="VXA71" s="30" t="n"/>
      <c r="VXB71" s="451" t="n"/>
      <c r="VXC71" s="34" t="n"/>
      <c r="VXD71" s="30" t="n"/>
      <c r="VXE71" s="138">
        <f>+VXA71-VXC71-VXE71</f>
        <v/>
      </c>
      <c r="VXF71" s="533" t="n"/>
      <c r="VXG71" s="515" t="inlineStr">
        <is>
          <t>SEGUROS</t>
        </is>
      </c>
      <c r="VXH71" s="534" t="inlineStr">
        <is>
          <t>RIMAC SEGUROS</t>
        </is>
      </c>
      <c r="VXI71" s="447" t="n"/>
      <c r="VXJ71" s="529" t="n">
        <v>1086478942</v>
      </c>
      <c r="VXK71" s="518" t="n"/>
      <c r="VXL71" s="519" t="n"/>
      <c r="VXM71" s="519" t="n">
        <v>45341</v>
      </c>
      <c r="VXP71" s="137" t="n">
        <v>218.95</v>
      </c>
      <c r="VXQ71" s="30" t="n"/>
      <c r="VXR71" s="451" t="n"/>
      <c r="VXS71" s="34" t="n"/>
      <c r="VXT71" s="30" t="n"/>
      <c r="VXU71" s="138">
        <f>+VXQ71-VXS71-VXU71</f>
        <v/>
      </c>
      <c r="VXV71" s="533" t="n"/>
      <c r="VXW71" s="515" t="inlineStr">
        <is>
          <t>SEGUROS</t>
        </is>
      </c>
      <c r="VXX71" s="534" t="inlineStr">
        <is>
          <t>RIMAC SEGUROS</t>
        </is>
      </c>
      <c r="VXY71" s="447" t="n"/>
      <c r="VXZ71" s="529" t="n">
        <v>1086478942</v>
      </c>
      <c r="VYA71" s="518" t="n"/>
      <c r="VYB71" s="519" t="n"/>
      <c r="VYC71" s="519" t="n">
        <v>45341</v>
      </c>
      <c r="VYF71" s="137" t="n">
        <v>218.95</v>
      </c>
      <c r="VYG71" s="30" t="n"/>
      <c r="VYH71" s="451" t="n"/>
      <c r="VYI71" s="34" t="n"/>
      <c r="VYJ71" s="30" t="n"/>
      <c r="VYK71" s="138">
        <f>+VYG71-VYI71-VYK71</f>
        <v/>
      </c>
      <c r="VYL71" s="533" t="n"/>
      <c r="VYM71" s="515" t="inlineStr">
        <is>
          <t>SEGUROS</t>
        </is>
      </c>
      <c r="VYN71" s="534" t="inlineStr">
        <is>
          <t>RIMAC SEGUROS</t>
        </is>
      </c>
      <c r="VYO71" s="447" t="n"/>
      <c r="VYP71" s="529" t="n">
        <v>1086478942</v>
      </c>
      <c r="VYQ71" s="518" t="n"/>
      <c r="VYR71" s="519" t="n"/>
      <c r="VYS71" s="519" t="n">
        <v>45341</v>
      </c>
      <c r="VYV71" s="137" t="n">
        <v>218.95</v>
      </c>
      <c r="VYW71" s="30" t="n"/>
      <c r="VYX71" s="451" t="n"/>
      <c r="VYY71" s="34" t="n"/>
      <c r="VYZ71" s="30" t="n"/>
      <c r="VZA71" s="138">
        <f>+VYW71-VYY71-VZA71</f>
        <v/>
      </c>
      <c r="VZB71" s="533" t="n"/>
      <c r="VZC71" s="515" t="inlineStr">
        <is>
          <t>SEGUROS</t>
        </is>
      </c>
      <c r="VZD71" s="534" t="inlineStr">
        <is>
          <t>RIMAC SEGUROS</t>
        </is>
      </c>
      <c r="VZE71" s="447" t="n"/>
      <c r="VZF71" s="529" t="n">
        <v>1086478942</v>
      </c>
      <c r="VZG71" s="518" t="n"/>
      <c r="VZH71" s="519" t="n"/>
      <c r="VZI71" s="519" t="n">
        <v>45341</v>
      </c>
      <c r="VZL71" s="137" t="n">
        <v>218.95</v>
      </c>
      <c r="VZM71" s="30" t="n"/>
      <c r="VZN71" s="451" t="n"/>
      <c r="VZO71" s="34" t="n"/>
      <c r="VZP71" s="30" t="n"/>
      <c r="VZQ71" s="138">
        <f>+VZM71-VZO71-VZQ71</f>
        <v/>
      </c>
      <c r="VZR71" s="533" t="n"/>
      <c r="VZS71" s="515" t="inlineStr">
        <is>
          <t>SEGUROS</t>
        </is>
      </c>
      <c r="VZT71" s="534" t="inlineStr">
        <is>
          <t>RIMAC SEGUROS</t>
        </is>
      </c>
      <c r="VZU71" s="447" t="n"/>
      <c r="VZV71" s="529" t="n">
        <v>1086478942</v>
      </c>
      <c r="VZW71" s="518" t="n"/>
      <c r="VZX71" s="519" t="n"/>
      <c r="VZY71" s="519" t="n">
        <v>45341</v>
      </c>
      <c r="WAB71" s="137" t="n">
        <v>218.95</v>
      </c>
      <c r="WAC71" s="30" t="n"/>
      <c r="WAD71" s="451" t="n"/>
      <c r="WAE71" s="34" t="n"/>
      <c r="WAF71" s="30" t="n"/>
      <c r="WAG71" s="138">
        <f>+WAC71-WAE71-WAG71</f>
        <v/>
      </c>
      <c r="WAH71" s="533" t="n"/>
      <c r="WAI71" s="515" t="inlineStr">
        <is>
          <t>SEGUROS</t>
        </is>
      </c>
      <c r="WAJ71" s="534" t="inlineStr">
        <is>
          <t>RIMAC SEGUROS</t>
        </is>
      </c>
      <c r="WAK71" s="447" t="n"/>
      <c r="WAL71" s="529" t="n">
        <v>1086478942</v>
      </c>
      <c r="WAM71" s="518" t="n"/>
      <c r="WAN71" s="519" t="n"/>
      <c r="WAO71" s="519" t="n">
        <v>45341</v>
      </c>
      <c r="WAR71" s="137" t="n">
        <v>218.95</v>
      </c>
      <c r="WAS71" s="30" t="n"/>
      <c r="WAT71" s="451" t="n"/>
      <c r="WAU71" s="34" t="n"/>
      <c r="WAV71" s="30" t="n"/>
      <c r="WAW71" s="138">
        <f>+WAS71-WAU71-WAW71</f>
        <v/>
      </c>
      <c r="WAX71" s="533" t="n"/>
      <c r="WAY71" s="515" t="inlineStr">
        <is>
          <t>SEGUROS</t>
        </is>
      </c>
      <c r="WAZ71" s="534" t="inlineStr">
        <is>
          <t>RIMAC SEGUROS</t>
        </is>
      </c>
      <c r="WBA71" s="447" t="n"/>
      <c r="WBB71" s="529" t="n">
        <v>1086478942</v>
      </c>
      <c r="WBC71" s="518" t="n"/>
      <c r="WBD71" s="519" t="n"/>
      <c r="WBE71" s="519" t="n">
        <v>45341</v>
      </c>
      <c r="WBH71" s="137" t="n">
        <v>218.95</v>
      </c>
      <c r="WBI71" s="30" t="n"/>
      <c r="WBJ71" s="451" t="n"/>
      <c r="WBK71" s="34" t="n"/>
      <c r="WBL71" s="30" t="n"/>
      <c r="WBM71" s="138">
        <f>+WBI71-WBK71-WBM71</f>
        <v/>
      </c>
      <c r="WBN71" s="533" t="n"/>
      <c r="WBO71" s="515" t="inlineStr">
        <is>
          <t>SEGUROS</t>
        </is>
      </c>
      <c r="WBP71" s="534" t="inlineStr">
        <is>
          <t>RIMAC SEGUROS</t>
        </is>
      </c>
      <c r="WBQ71" s="447" t="n"/>
      <c r="WBR71" s="529" t="n">
        <v>1086478942</v>
      </c>
      <c r="WBS71" s="518" t="n"/>
      <c r="WBT71" s="519" t="n"/>
      <c r="WBU71" s="519" t="n">
        <v>45341</v>
      </c>
      <c r="WBX71" s="137" t="n">
        <v>218.95</v>
      </c>
      <c r="WBY71" s="30" t="n"/>
      <c r="WBZ71" s="451" t="n"/>
      <c r="WCA71" s="34" t="n"/>
      <c r="WCB71" s="30" t="n"/>
      <c r="WCC71" s="138">
        <f>+WBY71-WCA71-WCC71</f>
        <v/>
      </c>
      <c r="WCD71" s="533" t="n"/>
      <c r="WCE71" s="515" t="inlineStr">
        <is>
          <t>SEGUROS</t>
        </is>
      </c>
      <c r="WCF71" s="534" t="inlineStr">
        <is>
          <t>RIMAC SEGUROS</t>
        </is>
      </c>
      <c r="WCG71" s="447" t="n"/>
      <c r="WCH71" s="529" t="n">
        <v>1086478942</v>
      </c>
      <c r="WCI71" s="518" t="n"/>
      <c r="WCJ71" s="519" t="n"/>
      <c r="WCK71" s="519" t="n">
        <v>45341</v>
      </c>
      <c r="WCN71" s="137" t="n">
        <v>218.95</v>
      </c>
      <c r="WCO71" s="30" t="n"/>
      <c r="WCP71" s="451" t="n"/>
      <c r="WCQ71" s="34" t="n"/>
      <c r="WCR71" s="30" t="n"/>
      <c r="WCS71" s="138">
        <f>+WCO71-WCQ71-WCS71</f>
        <v/>
      </c>
      <c r="WCT71" s="533" t="n"/>
      <c r="WCU71" s="515" t="inlineStr">
        <is>
          <t>SEGUROS</t>
        </is>
      </c>
      <c r="WCV71" s="534" t="inlineStr">
        <is>
          <t>RIMAC SEGUROS</t>
        </is>
      </c>
      <c r="WCW71" s="447" t="n"/>
      <c r="WCX71" s="529" t="n">
        <v>1086478942</v>
      </c>
      <c r="WCY71" s="518" t="n"/>
      <c r="WCZ71" s="519" t="n"/>
      <c r="WDA71" s="519" t="n">
        <v>45341</v>
      </c>
      <c r="WDD71" s="137" t="n">
        <v>218.95</v>
      </c>
      <c r="WDE71" s="30" t="n"/>
      <c r="WDF71" s="451" t="n"/>
      <c r="WDG71" s="34" t="n"/>
      <c r="WDH71" s="30" t="n"/>
      <c r="WDI71" s="138">
        <f>+WDE71-WDG71-WDI71</f>
        <v/>
      </c>
      <c r="WDJ71" s="533" t="n"/>
      <c r="WDK71" s="515" t="inlineStr">
        <is>
          <t>SEGUROS</t>
        </is>
      </c>
      <c r="WDL71" s="534" t="inlineStr">
        <is>
          <t>RIMAC SEGUROS</t>
        </is>
      </c>
      <c r="WDM71" s="447" t="n"/>
      <c r="WDN71" s="529" t="n">
        <v>1086478942</v>
      </c>
      <c r="WDO71" s="518" t="n"/>
      <c r="WDP71" s="519" t="n"/>
      <c r="WDQ71" s="519" t="n">
        <v>45341</v>
      </c>
      <c r="WDT71" s="137" t="n">
        <v>218.95</v>
      </c>
      <c r="WDU71" s="30" t="n"/>
      <c r="WDV71" s="451" t="n"/>
      <c r="WDW71" s="34" t="n"/>
      <c r="WDX71" s="30" t="n"/>
      <c r="WDY71" s="138">
        <f>+WDU71-WDW71-WDY71</f>
        <v/>
      </c>
      <c r="WDZ71" s="533" t="n"/>
      <c r="WEA71" s="515" t="inlineStr">
        <is>
          <t>SEGUROS</t>
        </is>
      </c>
      <c r="WEB71" s="534" t="inlineStr">
        <is>
          <t>RIMAC SEGUROS</t>
        </is>
      </c>
      <c r="WEC71" s="447" t="n"/>
      <c r="WED71" s="529" t="n">
        <v>1086478942</v>
      </c>
      <c r="WEE71" s="518" t="n"/>
      <c r="WEF71" s="519" t="n"/>
      <c r="WEG71" s="519" t="n">
        <v>45341</v>
      </c>
      <c r="WEJ71" s="137" t="n">
        <v>218.95</v>
      </c>
      <c r="WEK71" s="30" t="n"/>
      <c r="WEL71" s="451" t="n"/>
      <c r="WEM71" s="34" t="n"/>
      <c r="WEN71" s="30" t="n"/>
      <c r="WEO71" s="138">
        <f>+WEK71-WEM71-WEO71</f>
        <v/>
      </c>
      <c r="WEP71" s="533" t="n"/>
      <c r="WEQ71" s="515" t="inlineStr">
        <is>
          <t>SEGUROS</t>
        </is>
      </c>
      <c r="WER71" s="534" t="inlineStr">
        <is>
          <t>RIMAC SEGUROS</t>
        </is>
      </c>
      <c r="WES71" s="447" t="n"/>
      <c r="WET71" s="529" t="n">
        <v>1086478942</v>
      </c>
      <c r="WEU71" s="518" t="n"/>
      <c r="WEV71" s="519" t="n"/>
      <c r="WEW71" s="519" t="n">
        <v>45341</v>
      </c>
      <c r="WEZ71" s="137" t="n">
        <v>218.95</v>
      </c>
      <c r="WFA71" s="30" t="n"/>
      <c r="WFB71" s="451" t="n"/>
      <c r="WFC71" s="34" t="n"/>
      <c r="WFD71" s="30" t="n"/>
      <c r="WFE71" s="138">
        <f>+WFA71-WFC71-WFE71</f>
        <v/>
      </c>
      <c r="WFF71" s="533" t="n"/>
      <c r="WFG71" s="515" t="inlineStr">
        <is>
          <t>SEGUROS</t>
        </is>
      </c>
      <c r="WFH71" s="534" t="inlineStr">
        <is>
          <t>RIMAC SEGUROS</t>
        </is>
      </c>
      <c r="WFI71" s="447" t="n"/>
      <c r="WFJ71" s="529" t="n">
        <v>1086478942</v>
      </c>
      <c r="WFK71" s="518" t="n"/>
      <c r="WFL71" s="519" t="n"/>
      <c r="WFM71" s="519" t="n">
        <v>45341</v>
      </c>
      <c r="WFP71" s="137" t="n">
        <v>218.95</v>
      </c>
      <c r="WFQ71" s="30" t="n"/>
      <c r="WFR71" s="451" t="n"/>
      <c r="WFS71" s="34" t="n"/>
      <c r="WFT71" s="30" t="n"/>
      <c r="WFU71" s="138">
        <f>+WFQ71-WFS71-WFU71</f>
        <v/>
      </c>
      <c r="WFV71" s="533" t="n"/>
      <c r="WFW71" s="515" t="inlineStr">
        <is>
          <t>SEGUROS</t>
        </is>
      </c>
      <c r="WFX71" s="534" t="inlineStr">
        <is>
          <t>RIMAC SEGUROS</t>
        </is>
      </c>
      <c r="WFY71" s="447" t="n"/>
      <c r="WFZ71" s="529" t="n">
        <v>1086478942</v>
      </c>
      <c r="WGA71" s="518" t="n"/>
      <c r="WGB71" s="519" t="n"/>
      <c r="WGC71" s="519" t="n">
        <v>45341</v>
      </c>
      <c r="WGF71" s="137" t="n">
        <v>218.95</v>
      </c>
      <c r="WGG71" s="30" t="n"/>
      <c r="WGH71" s="451" t="n"/>
      <c r="WGI71" s="34" t="n"/>
      <c r="WGJ71" s="30" t="n"/>
      <c r="WGK71" s="138">
        <f>+WGG71-WGI71-WGK71</f>
        <v/>
      </c>
      <c r="WGL71" s="533" t="n"/>
      <c r="WGM71" s="515" t="inlineStr">
        <is>
          <t>SEGUROS</t>
        </is>
      </c>
      <c r="WGN71" s="534" t="inlineStr">
        <is>
          <t>RIMAC SEGUROS</t>
        </is>
      </c>
      <c r="WGO71" s="447" t="n"/>
      <c r="WGP71" s="529" t="n">
        <v>1086478942</v>
      </c>
      <c r="WGQ71" s="518" t="n"/>
      <c r="WGR71" s="519" t="n"/>
      <c r="WGS71" s="519" t="n">
        <v>45341</v>
      </c>
      <c r="WGV71" s="137" t="n">
        <v>218.95</v>
      </c>
      <c r="WGW71" s="30" t="n"/>
      <c r="WGX71" s="451" t="n"/>
      <c r="WGY71" s="34" t="n"/>
      <c r="WGZ71" s="30" t="n"/>
      <c r="WHA71" s="138">
        <f>+WGW71-WGY71-WHA71</f>
        <v/>
      </c>
      <c r="WHB71" s="533" t="n"/>
      <c r="WHC71" s="515" t="inlineStr">
        <is>
          <t>SEGUROS</t>
        </is>
      </c>
      <c r="WHD71" s="534" t="inlineStr">
        <is>
          <t>RIMAC SEGUROS</t>
        </is>
      </c>
      <c r="WHE71" s="447" t="n"/>
      <c r="WHF71" s="529" t="n">
        <v>1086478942</v>
      </c>
      <c r="WHG71" s="518" t="n"/>
      <c r="WHH71" s="519" t="n"/>
      <c r="WHI71" s="519" t="n">
        <v>45341</v>
      </c>
      <c r="WHL71" s="137" t="n">
        <v>218.95</v>
      </c>
      <c r="WHM71" s="30" t="n"/>
      <c r="WHN71" s="451" t="n"/>
      <c r="WHO71" s="34" t="n"/>
      <c r="WHP71" s="30" t="n"/>
      <c r="WHQ71" s="138">
        <f>+WHM71-WHO71-WHQ71</f>
        <v/>
      </c>
      <c r="WHR71" s="533" t="n"/>
      <c r="WHS71" s="515" t="inlineStr">
        <is>
          <t>SEGUROS</t>
        </is>
      </c>
      <c r="WHT71" s="534" t="inlineStr">
        <is>
          <t>RIMAC SEGUROS</t>
        </is>
      </c>
      <c r="WHU71" s="447" t="n"/>
      <c r="WHV71" s="529" t="n">
        <v>1086478942</v>
      </c>
      <c r="WHW71" s="518" t="n"/>
      <c r="WHX71" s="519" t="n"/>
      <c r="WHY71" s="519" t="n">
        <v>45341</v>
      </c>
      <c r="WIB71" s="137" t="n">
        <v>218.95</v>
      </c>
      <c r="WIC71" s="30" t="n"/>
      <c r="WID71" s="451" t="n"/>
      <c r="WIE71" s="34" t="n"/>
      <c r="WIF71" s="30" t="n"/>
      <c r="WIG71" s="138">
        <f>+WIC71-WIE71-WIG71</f>
        <v/>
      </c>
      <c r="WIH71" s="533" t="n"/>
      <c r="WII71" s="515" t="inlineStr">
        <is>
          <t>SEGUROS</t>
        </is>
      </c>
      <c r="WIJ71" s="534" t="inlineStr">
        <is>
          <t>RIMAC SEGUROS</t>
        </is>
      </c>
      <c r="WIK71" s="447" t="n"/>
      <c r="WIL71" s="529" t="n">
        <v>1086478942</v>
      </c>
      <c r="WIM71" s="518" t="n"/>
      <c r="WIN71" s="519" t="n"/>
      <c r="WIO71" s="519" t="n">
        <v>45341</v>
      </c>
      <c r="WIR71" s="137" t="n">
        <v>218.95</v>
      </c>
      <c r="WIS71" s="30" t="n"/>
      <c r="WIT71" s="451" t="n"/>
      <c r="WIU71" s="34" t="n"/>
      <c r="WIV71" s="30" t="n"/>
      <c r="WIW71" s="138">
        <f>+WIS71-WIU71-WIW71</f>
        <v/>
      </c>
      <c r="WIX71" s="533" t="n"/>
      <c r="WIY71" s="515" t="inlineStr">
        <is>
          <t>SEGUROS</t>
        </is>
      </c>
      <c r="WIZ71" s="534" t="inlineStr">
        <is>
          <t>RIMAC SEGUROS</t>
        </is>
      </c>
      <c r="WJA71" s="447" t="n"/>
      <c r="WJB71" s="529" t="n">
        <v>1086478942</v>
      </c>
      <c r="WJC71" s="518" t="n"/>
      <c r="WJD71" s="519" t="n"/>
      <c r="WJE71" s="519" t="n">
        <v>45341</v>
      </c>
      <c r="WJH71" s="137" t="n">
        <v>218.95</v>
      </c>
      <c r="WJI71" s="30" t="n"/>
      <c r="WJJ71" s="451" t="n"/>
      <c r="WJK71" s="34" t="n"/>
      <c r="WJL71" s="30" t="n"/>
      <c r="WJM71" s="138">
        <f>+WJI71-WJK71-WJM71</f>
        <v/>
      </c>
      <c r="WJN71" s="533" t="n"/>
      <c r="WJO71" s="515" t="inlineStr">
        <is>
          <t>SEGUROS</t>
        </is>
      </c>
      <c r="WJP71" s="534" t="inlineStr">
        <is>
          <t>RIMAC SEGUROS</t>
        </is>
      </c>
      <c r="WJQ71" s="447" t="n"/>
      <c r="WJR71" s="529" t="n">
        <v>1086478942</v>
      </c>
      <c r="WJS71" s="518" t="n"/>
      <c r="WJT71" s="519" t="n"/>
      <c r="WJU71" s="519" t="n">
        <v>45341</v>
      </c>
      <c r="WJX71" s="137" t="n">
        <v>218.95</v>
      </c>
      <c r="WJY71" s="30" t="n"/>
      <c r="WJZ71" s="451" t="n"/>
      <c r="WKA71" s="34" t="n"/>
      <c r="WKB71" s="30" t="n"/>
      <c r="WKC71" s="138">
        <f>+WJY71-WKA71-WKC71</f>
        <v/>
      </c>
      <c r="WKD71" s="533" t="n"/>
      <c r="WKE71" s="515" t="inlineStr">
        <is>
          <t>SEGUROS</t>
        </is>
      </c>
      <c r="WKF71" s="534" t="inlineStr">
        <is>
          <t>RIMAC SEGUROS</t>
        </is>
      </c>
      <c r="WKG71" s="447" t="n"/>
      <c r="WKH71" s="529" t="n">
        <v>1086478942</v>
      </c>
      <c r="WKI71" s="518" t="n"/>
      <c r="WKJ71" s="519" t="n"/>
      <c r="WKK71" s="519" t="n">
        <v>45341</v>
      </c>
      <c r="WKN71" s="137" t="n">
        <v>218.95</v>
      </c>
      <c r="WKO71" s="30" t="n"/>
      <c r="WKP71" s="451" t="n"/>
      <c r="WKQ71" s="34" t="n"/>
      <c r="WKR71" s="30" t="n"/>
      <c r="WKS71" s="138">
        <f>+WKO71-WKQ71-WKS71</f>
        <v/>
      </c>
      <c r="WKT71" s="533" t="n"/>
      <c r="WKU71" s="515" t="inlineStr">
        <is>
          <t>SEGUROS</t>
        </is>
      </c>
      <c r="WKV71" s="534" t="inlineStr">
        <is>
          <t>RIMAC SEGUROS</t>
        </is>
      </c>
      <c r="WKW71" s="447" t="n"/>
      <c r="WKX71" s="529" t="n">
        <v>1086478942</v>
      </c>
      <c r="WKY71" s="518" t="n"/>
      <c r="WKZ71" s="519" t="n"/>
      <c r="WLA71" s="519" t="n">
        <v>45341</v>
      </c>
      <c r="WLD71" s="137" t="n">
        <v>218.95</v>
      </c>
      <c r="WLE71" s="30" t="n"/>
      <c r="WLF71" s="451" t="n"/>
      <c r="WLG71" s="34" t="n"/>
      <c r="WLH71" s="30" t="n"/>
      <c r="WLI71" s="138">
        <f>+WLE71-WLG71-WLI71</f>
        <v/>
      </c>
      <c r="WLJ71" s="533" t="n"/>
      <c r="WLK71" s="515" t="inlineStr">
        <is>
          <t>SEGUROS</t>
        </is>
      </c>
      <c r="WLL71" s="534" t="inlineStr">
        <is>
          <t>RIMAC SEGUROS</t>
        </is>
      </c>
      <c r="WLM71" s="447" t="n"/>
      <c r="WLN71" s="529" t="n">
        <v>1086478942</v>
      </c>
      <c r="WLO71" s="518" t="n"/>
      <c r="WLP71" s="519" t="n"/>
      <c r="WLQ71" s="519" t="n">
        <v>45341</v>
      </c>
      <c r="WLT71" s="137" t="n">
        <v>218.95</v>
      </c>
      <c r="WLU71" s="30" t="n"/>
      <c r="WLV71" s="451" t="n"/>
      <c r="WLW71" s="34" t="n"/>
      <c r="WLX71" s="30" t="n"/>
      <c r="WLY71" s="138">
        <f>+WLU71-WLW71-WLY71</f>
        <v/>
      </c>
      <c r="WLZ71" s="533" t="n"/>
      <c r="WMA71" s="515" t="inlineStr">
        <is>
          <t>SEGUROS</t>
        </is>
      </c>
      <c r="WMB71" s="534" t="inlineStr">
        <is>
          <t>RIMAC SEGUROS</t>
        </is>
      </c>
      <c r="WMC71" s="447" t="n"/>
      <c r="WMD71" s="529" t="n">
        <v>1086478942</v>
      </c>
      <c r="WME71" s="518" t="n"/>
      <c r="WMF71" s="519" t="n"/>
      <c r="WMG71" s="519" t="n">
        <v>45341</v>
      </c>
      <c r="WMJ71" s="137" t="n">
        <v>218.95</v>
      </c>
      <c r="WMK71" s="30" t="n"/>
      <c r="WML71" s="451" t="n"/>
      <c r="WMM71" s="34" t="n"/>
      <c r="WMN71" s="30" t="n"/>
      <c r="WMO71" s="138">
        <f>+WMK71-WMM71-WMO71</f>
        <v/>
      </c>
      <c r="WMP71" s="533" t="n"/>
      <c r="WMQ71" s="515" t="inlineStr">
        <is>
          <t>SEGUROS</t>
        </is>
      </c>
      <c r="WMR71" s="534" t="inlineStr">
        <is>
          <t>RIMAC SEGUROS</t>
        </is>
      </c>
      <c r="WMS71" s="447" t="n"/>
      <c r="WMT71" s="529" t="n">
        <v>1086478942</v>
      </c>
      <c r="WMU71" s="518" t="n"/>
      <c r="WMV71" s="519" t="n"/>
      <c r="WMW71" s="519" t="n">
        <v>45341</v>
      </c>
      <c r="WMZ71" s="137" t="n">
        <v>218.95</v>
      </c>
      <c r="WNA71" s="30" t="n"/>
      <c r="WNB71" s="451" t="n"/>
      <c r="WNC71" s="34" t="n"/>
      <c r="WND71" s="30" t="n"/>
      <c r="WNE71" s="138">
        <f>+WNA71-WNC71-WNE71</f>
        <v/>
      </c>
      <c r="WNF71" s="533" t="n"/>
      <c r="WNG71" s="515" t="inlineStr">
        <is>
          <t>SEGUROS</t>
        </is>
      </c>
      <c r="WNH71" s="534" t="inlineStr">
        <is>
          <t>RIMAC SEGUROS</t>
        </is>
      </c>
      <c r="WNI71" s="447" t="n"/>
      <c r="WNJ71" s="529" t="n">
        <v>1086478942</v>
      </c>
      <c r="WNK71" s="518" t="n"/>
      <c r="WNL71" s="519" t="n"/>
      <c r="WNM71" s="519" t="n">
        <v>45341</v>
      </c>
      <c r="WNP71" s="137" t="n">
        <v>218.95</v>
      </c>
      <c r="WNQ71" s="30" t="n"/>
      <c r="WNR71" s="451" t="n"/>
      <c r="WNS71" s="34" t="n"/>
      <c r="WNT71" s="30" t="n"/>
      <c r="WNU71" s="138">
        <f>+WNQ71-WNS71-WNU71</f>
        <v/>
      </c>
      <c r="WNV71" s="533" t="n"/>
      <c r="WNW71" s="515" t="inlineStr">
        <is>
          <t>SEGUROS</t>
        </is>
      </c>
      <c r="WNX71" s="534" t="inlineStr">
        <is>
          <t>RIMAC SEGUROS</t>
        </is>
      </c>
      <c r="WNY71" s="447" t="n"/>
      <c r="WNZ71" s="529" t="n">
        <v>1086478942</v>
      </c>
      <c r="WOA71" s="518" t="n"/>
      <c r="WOB71" s="519" t="n"/>
      <c r="WOC71" s="519" t="n">
        <v>45341</v>
      </c>
      <c r="WOF71" s="137" t="n">
        <v>218.95</v>
      </c>
      <c r="WOG71" s="30" t="n"/>
      <c r="WOH71" s="451" t="n"/>
      <c r="WOI71" s="34" t="n"/>
      <c r="WOJ71" s="30" t="n"/>
      <c r="WOK71" s="138">
        <f>+WOG71-WOI71-WOK71</f>
        <v/>
      </c>
      <c r="WOL71" s="533" t="n"/>
      <c r="WOM71" s="515" t="inlineStr">
        <is>
          <t>SEGUROS</t>
        </is>
      </c>
      <c r="WON71" s="534" t="inlineStr">
        <is>
          <t>RIMAC SEGUROS</t>
        </is>
      </c>
      <c r="WOO71" s="447" t="n"/>
      <c r="WOP71" s="529" t="n">
        <v>1086478942</v>
      </c>
      <c r="WOQ71" s="518" t="n"/>
      <c r="WOR71" s="519" t="n"/>
      <c r="WOS71" s="519" t="n">
        <v>45341</v>
      </c>
      <c r="WOV71" s="137" t="n">
        <v>218.95</v>
      </c>
      <c r="WOW71" s="30" t="n"/>
      <c r="WOX71" s="451" t="n"/>
      <c r="WOY71" s="34" t="n"/>
      <c r="WOZ71" s="30" t="n"/>
      <c r="WPA71" s="138">
        <f>+WOW71-WOY71-WPA71</f>
        <v/>
      </c>
      <c r="WPB71" s="533" t="n"/>
      <c r="WPC71" s="515" t="inlineStr">
        <is>
          <t>SEGUROS</t>
        </is>
      </c>
      <c r="WPD71" s="534" t="inlineStr">
        <is>
          <t>RIMAC SEGUROS</t>
        </is>
      </c>
      <c r="WPE71" s="447" t="n"/>
      <c r="WPF71" s="529" t="n">
        <v>1086478942</v>
      </c>
      <c r="WPG71" s="518" t="n"/>
      <c r="WPH71" s="519" t="n"/>
      <c r="WPI71" s="519" t="n">
        <v>45341</v>
      </c>
      <c r="WPL71" s="137" t="n">
        <v>218.95</v>
      </c>
      <c r="WPM71" s="30" t="n"/>
      <c r="WPN71" s="451" t="n"/>
      <c r="WPO71" s="34" t="n"/>
      <c r="WPP71" s="30" t="n"/>
      <c r="WPQ71" s="138">
        <f>+WPM71-WPO71-WPQ71</f>
        <v/>
      </c>
      <c r="WPR71" s="533" t="n"/>
      <c r="WPS71" s="515" t="inlineStr">
        <is>
          <t>SEGUROS</t>
        </is>
      </c>
      <c r="WPT71" s="534" t="inlineStr">
        <is>
          <t>RIMAC SEGUROS</t>
        </is>
      </c>
      <c r="WPU71" s="447" t="n"/>
      <c r="WPV71" s="529" t="n">
        <v>1086478942</v>
      </c>
      <c r="WPW71" s="518" t="n"/>
      <c r="WPX71" s="519" t="n"/>
      <c r="WPY71" s="519" t="n">
        <v>45341</v>
      </c>
      <c r="WQB71" s="137" t="n">
        <v>218.95</v>
      </c>
      <c r="WQC71" s="30" t="n"/>
      <c r="WQD71" s="451" t="n"/>
      <c r="WQE71" s="34" t="n"/>
      <c r="WQF71" s="30" t="n"/>
      <c r="WQG71" s="138">
        <f>+WQC71-WQE71-WQG71</f>
        <v/>
      </c>
      <c r="WQH71" s="533" t="n"/>
      <c r="WQI71" s="515" t="inlineStr">
        <is>
          <t>SEGUROS</t>
        </is>
      </c>
      <c r="WQJ71" s="534" t="inlineStr">
        <is>
          <t>RIMAC SEGUROS</t>
        </is>
      </c>
      <c r="WQK71" s="447" t="n"/>
      <c r="WQL71" s="529" t="n">
        <v>1086478942</v>
      </c>
      <c r="WQM71" s="518" t="n"/>
      <c r="WQN71" s="519" t="n"/>
      <c r="WQO71" s="519" t="n">
        <v>45341</v>
      </c>
      <c r="WQR71" s="137" t="n">
        <v>218.95</v>
      </c>
      <c r="WQS71" s="30" t="n"/>
      <c r="WQT71" s="451" t="n"/>
      <c r="WQU71" s="34" t="n"/>
      <c r="WQV71" s="30" t="n"/>
      <c r="WQW71" s="138">
        <f>+WQS71-WQU71-WQW71</f>
        <v/>
      </c>
      <c r="WQX71" s="533" t="n"/>
      <c r="WQY71" s="515" t="inlineStr">
        <is>
          <t>SEGUROS</t>
        </is>
      </c>
      <c r="WQZ71" s="534" t="inlineStr">
        <is>
          <t>RIMAC SEGUROS</t>
        </is>
      </c>
      <c r="WRA71" s="447" t="n"/>
      <c r="WRB71" s="529" t="n">
        <v>1086478942</v>
      </c>
      <c r="WRC71" s="518" t="n"/>
      <c r="WRD71" s="519" t="n"/>
      <c r="WRE71" s="519" t="n">
        <v>45341</v>
      </c>
      <c r="WRH71" s="137" t="n">
        <v>218.95</v>
      </c>
      <c r="WRI71" s="30" t="n"/>
      <c r="WRJ71" s="451" t="n"/>
      <c r="WRK71" s="34" t="n"/>
      <c r="WRL71" s="30" t="n"/>
      <c r="WRM71" s="138">
        <f>+WRI71-WRK71-WRM71</f>
        <v/>
      </c>
      <c r="WRN71" s="533" t="n"/>
      <c r="WRO71" s="515" t="inlineStr">
        <is>
          <t>SEGUROS</t>
        </is>
      </c>
      <c r="WRP71" s="534" t="inlineStr">
        <is>
          <t>RIMAC SEGUROS</t>
        </is>
      </c>
      <c r="WRQ71" s="447" t="n"/>
      <c r="WRR71" s="529" t="n">
        <v>1086478942</v>
      </c>
      <c r="WRS71" s="518" t="n"/>
      <c r="WRT71" s="519" t="n"/>
      <c r="WRU71" s="519" t="n">
        <v>45341</v>
      </c>
      <c r="WRX71" s="137" t="n">
        <v>218.95</v>
      </c>
      <c r="WRY71" s="30" t="n"/>
      <c r="WRZ71" s="451" t="n"/>
      <c r="WSA71" s="34" t="n"/>
      <c r="WSB71" s="30" t="n"/>
      <c r="WSC71" s="138">
        <f>+WRY71-WSA71-WSC71</f>
        <v/>
      </c>
      <c r="WSD71" s="533" t="n"/>
      <c r="WSE71" s="515" t="inlineStr">
        <is>
          <t>SEGUROS</t>
        </is>
      </c>
      <c r="WSF71" s="534" t="inlineStr">
        <is>
          <t>RIMAC SEGUROS</t>
        </is>
      </c>
      <c r="WSG71" s="447" t="n"/>
      <c r="WSH71" s="529" t="n">
        <v>1086478942</v>
      </c>
      <c r="WSI71" s="518" t="n"/>
      <c r="WSJ71" s="519" t="n"/>
      <c r="WSK71" s="519" t="n">
        <v>45341</v>
      </c>
      <c r="WSN71" s="137" t="n">
        <v>218.95</v>
      </c>
      <c r="WSO71" s="30" t="n"/>
      <c r="WSP71" s="451" t="n"/>
      <c r="WSQ71" s="34" t="n"/>
      <c r="WSR71" s="30" t="n"/>
      <c r="WSS71" s="138">
        <f>+WSO71-WSQ71-WSS71</f>
        <v/>
      </c>
      <c r="WST71" s="533" t="n"/>
      <c r="WSU71" s="515" t="inlineStr">
        <is>
          <t>SEGUROS</t>
        </is>
      </c>
      <c r="WSV71" s="534" t="inlineStr">
        <is>
          <t>RIMAC SEGUROS</t>
        </is>
      </c>
      <c r="WSW71" s="447" t="n"/>
      <c r="WSX71" s="529" t="n">
        <v>1086478942</v>
      </c>
      <c r="WSY71" s="518" t="n"/>
      <c r="WSZ71" s="519" t="n"/>
      <c r="WTA71" s="519" t="n">
        <v>45341</v>
      </c>
      <c r="WTD71" s="137" t="n">
        <v>218.95</v>
      </c>
      <c r="WTE71" s="30" t="n"/>
      <c r="WTF71" s="451" t="n"/>
      <c r="WTG71" s="34" t="n"/>
      <c r="WTH71" s="30" t="n"/>
      <c r="WTI71" s="138">
        <f>+WTE71-WTG71-WTI71</f>
        <v/>
      </c>
      <c r="WTJ71" s="533" t="n"/>
      <c r="WTK71" s="515" t="inlineStr">
        <is>
          <t>SEGUROS</t>
        </is>
      </c>
      <c r="WTL71" s="534" t="inlineStr">
        <is>
          <t>RIMAC SEGUROS</t>
        </is>
      </c>
      <c r="WTM71" s="447" t="n"/>
      <c r="WTN71" s="529" t="n">
        <v>1086478942</v>
      </c>
      <c r="WTO71" s="518" t="n"/>
      <c r="WTP71" s="519" t="n"/>
      <c r="WTQ71" s="519" t="n">
        <v>45341</v>
      </c>
      <c r="WTT71" s="137" t="n">
        <v>218.95</v>
      </c>
      <c r="WTU71" s="30" t="n"/>
      <c r="WTV71" s="451" t="n"/>
      <c r="WTW71" s="34" t="n"/>
      <c r="WTX71" s="30" t="n"/>
      <c r="WTY71" s="138">
        <f>+WTU71-WTW71-WTY71</f>
        <v/>
      </c>
      <c r="WTZ71" s="533" t="n"/>
      <c r="WUA71" s="515" t="inlineStr">
        <is>
          <t>SEGUROS</t>
        </is>
      </c>
      <c r="WUB71" s="534" t="inlineStr">
        <is>
          <t>RIMAC SEGUROS</t>
        </is>
      </c>
      <c r="WUC71" s="447" t="n"/>
      <c r="WUD71" s="529" t="n">
        <v>1086478942</v>
      </c>
      <c r="WUE71" s="518" t="n"/>
      <c r="WUF71" s="519" t="n"/>
      <c r="WUG71" s="519" t="n">
        <v>45341</v>
      </c>
      <c r="WUJ71" s="137" t="n">
        <v>218.95</v>
      </c>
      <c r="WUK71" s="30" t="n"/>
      <c r="WUL71" s="451" t="n"/>
      <c r="WUM71" s="34" t="n"/>
      <c r="WUN71" s="30" t="n"/>
      <c r="WUO71" s="138">
        <f>+WUK71-WUM71-WUO71</f>
        <v/>
      </c>
      <c r="WUP71" s="533" t="n"/>
      <c r="WUQ71" s="515" t="inlineStr">
        <is>
          <t>SEGUROS</t>
        </is>
      </c>
      <c r="WUR71" s="534" t="inlineStr">
        <is>
          <t>RIMAC SEGUROS</t>
        </is>
      </c>
      <c r="WUS71" s="447" t="n"/>
      <c r="WUT71" s="529" t="n">
        <v>1086478942</v>
      </c>
      <c r="WUU71" s="518" t="n"/>
      <c r="WUV71" s="519" t="n"/>
      <c r="WUW71" s="519" t="n">
        <v>45341</v>
      </c>
      <c r="WUZ71" s="137" t="n">
        <v>218.95</v>
      </c>
      <c r="WVA71" s="30" t="n"/>
      <c r="WVB71" s="451" t="n"/>
      <c r="WVC71" s="34" t="n"/>
      <c r="WVD71" s="30" t="n"/>
      <c r="WVE71" s="138">
        <f>+WVA71-WVC71-WVE71</f>
        <v/>
      </c>
      <c r="WVF71" s="533" t="n"/>
      <c r="WVG71" s="515" t="inlineStr">
        <is>
          <t>SEGUROS</t>
        </is>
      </c>
      <c r="WVH71" s="534" t="inlineStr">
        <is>
          <t>RIMAC SEGUROS</t>
        </is>
      </c>
      <c r="WVI71" s="447" t="n"/>
      <c r="WVJ71" s="529" t="n">
        <v>1086478942</v>
      </c>
      <c r="WVK71" s="518" t="n"/>
      <c r="WVL71" s="519" t="n"/>
      <c r="WVM71" s="519" t="n">
        <v>45341</v>
      </c>
      <c r="WVP71" s="137" t="n">
        <v>218.95</v>
      </c>
      <c r="WVQ71" s="30" t="n"/>
      <c r="WVR71" s="451" t="n"/>
      <c r="WVS71" s="34" t="n"/>
      <c r="WVT71" s="30" t="n"/>
      <c r="WVU71" s="138">
        <f>+WVQ71-WVS71-WVU71</f>
        <v/>
      </c>
      <c r="WVV71" s="533" t="n"/>
      <c r="WVW71" s="515" t="inlineStr">
        <is>
          <t>SEGUROS</t>
        </is>
      </c>
      <c r="WVX71" s="534" t="inlineStr">
        <is>
          <t>RIMAC SEGUROS</t>
        </is>
      </c>
      <c r="WVY71" s="447" t="n"/>
      <c r="WVZ71" s="529" t="n">
        <v>1086478942</v>
      </c>
      <c r="WWA71" s="518" t="n"/>
      <c r="WWB71" s="519" t="n"/>
      <c r="WWC71" s="519" t="n">
        <v>45341</v>
      </c>
      <c r="WWF71" s="137" t="n">
        <v>218.95</v>
      </c>
      <c r="WWG71" s="30" t="n"/>
      <c r="WWH71" s="451" t="n"/>
      <c r="WWI71" s="34" t="n"/>
      <c r="WWJ71" s="30" t="n"/>
      <c r="WWK71" s="138">
        <f>+WWG71-WWI71-WWK71</f>
        <v/>
      </c>
      <c r="WWL71" s="533" t="n"/>
      <c r="WWM71" s="515" t="inlineStr">
        <is>
          <t>SEGUROS</t>
        </is>
      </c>
      <c r="WWN71" s="534" t="inlineStr">
        <is>
          <t>RIMAC SEGUROS</t>
        </is>
      </c>
      <c r="WWO71" s="447" t="n"/>
      <c r="WWP71" s="529" t="n">
        <v>1086478942</v>
      </c>
      <c r="WWQ71" s="518" t="n"/>
      <c r="WWR71" s="519" t="n"/>
      <c r="WWS71" s="519" t="n">
        <v>45341</v>
      </c>
      <c r="WWV71" s="137" t="n">
        <v>218.95</v>
      </c>
      <c r="WWW71" s="30" t="n"/>
      <c r="WWX71" s="451" t="n"/>
      <c r="WWY71" s="34" t="n"/>
      <c r="WWZ71" s="30" t="n"/>
      <c r="WXA71" s="138">
        <f>+WWW71-WWY71-WXA71</f>
        <v/>
      </c>
      <c r="WXB71" s="533" t="n"/>
      <c r="WXC71" s="515" t="inlineStr">
        <is>
          <t>SEGUROS</t>
        </is>
      </c>
      <c r="WXD71" s="534" t="inlineStr">
        <is>
          <t>RIMAC SEGUROS</t>
        </is>
      </c>
      <c r="WXE71" s="447" t="n"/>
      <c r="WXF71" s="529" t="n">
        <v>1086478942</v>
      </c>
      <c r="WXG71" s="518" t="n"/>
      <c r="WXH71" s="519" t="n"/>
      <c r="WXI71" s="519" t="n">
        <v>45341</v>
      </c>
      <c r="WXL71" s="137" t="n">
        <v>218.95</v>
      </c>
      <c r="WXM71" s="30" t="n"/>
      <c r="WXN71" s="451" t="n"/>
      <c r="WXO71" s="34" t="n"/>
      <c r="WXP71" s="30" t="n"/>
      <c r="WXQ71" s="138">
        <f>+WXM71-WXO71-WXQ71</f>
        <v/>
      </c>
      <c r="WXR71" s="533" t="n"/>
      <c r="WXS71" s="515" t="inlineStr">
        <is>
          <t>SEGUROS</t>
        </is>
      </c>
      <c r="WXT71" s="534" t="inlineStr">
        <is>
          <t>RIMAC SEGUROS</t>
        </is>
      </c>
      <c r="WXU71" s="447" t="n"/>
      <c r="WXV71" s="529" t="n">
        <v>1086478942</v>
      </c>
      <c r="WXW71" s="518" t="n"/>
      <c r="WXX71" s="519" t="n"/>
      <c r="WXY71" s="519" t="n">
        <v>45341</v>
      </c>
      <c r="WYB71" s="137" t="n">
        <v>218.95</v>
      </c>
      <c r="WYC71" s="30" t="n"/>
      <c r="WYD71" s="451" t="n"/>
      <c r="WYE71" s="34" t="n"/>
      <c r="WYF71" s="30" t="n"/>
      <c r="WYG71" s="138">
        <f>+WYC71-WYE71-WYG71</f>
        <v/>
      </c>
      <c r="WYH71" s="533" t="n"/>
      <c r="WYI71" s="515" t="inlineStr">
        <is>
          <t>SEGUROS</t>
        </is>
      </c>
      <c r="WYJ71" s="534" t="inlineStr">
        <is>
          <t>RIMAC SEGUROS</t>
        </is>
      </c>
      <c r="WYK71" s="447" t="n"/>
      <c r="WYL71" s="529" t="n">
        <v>1086478942</v>
      </c>
      <c r="WYM71" s="518" t="n"/>
      <c r="WYN71" s="519" t="n"/>
      <c r="WYO71" s="519" t="n">
        <v>45341</v>
      </c>
      <c r="WYR71" s="137" t="n">
        <v>218.95</v>
      </c>
      <c r="WYS71" s="30" t="n"/>
      <c r="WYT71" s="451" t="n"/>
      <c r="WYU71" s="34" t="n"/>
      <c r="WYV71" s="30" t="n"/>
      <c r="WYW71" s="138">
        <f>+WYS71-WYU71-WYW71</f>
        <v/>
      </c>
      <c r="WYX71" s="533" t="n"/>
      <c r="WYY71" s="515" t="inlineStr">
        <is>
          <t>SEGUROS</t>
        </is>
      </c>
      <c r="WYZ71" s="534" t="inlineStr">
        <is>
          <t>RIMAC SEGUROS</t>
        </is>
      </c>
      <c r="WZA71" s="447" t="n"/>
      <c r="WZB71" s="529" t="n">
        <v>1086478942</v>
      </c>
      <c r="WZC71" s="518" t="n"/>
      <c r="WZD71" s="519" t="n"/>
      <c r="WZE71" s="519" t="n">
        <v>45341</v>
      </c>
      <c r="WZH71" s="137" t="n">
        <v>218.95</v>
      </c>
      <c r="WZI71" s="30" t="n"/>
      <c r="WZJ71" s="451" t="n"/>
      <c r="WZK71" s="34" t="n"/>
      <c r="WZL71" s="30" t="n"/>
      <c r="WZM71" s="138">
        <f>+WZI71-WZK71-WZM71</f>
        <v/>
      </c>
      <c r="WZN71" s="533" t="n"/>
      <c r="WZO71" s="515" t="inlineStr">
        <is>
          <t>SEGUROS</t>
        </is>
      </c>
      <c r="WZP71" s="534" t="inlineStr">
        <is>
          <t>RIMAC SEGUROS</t>
        </is>
      </c>
      <c r="WZQ71" s="447" t="n"/>
      <c r="WZR71" s="529" t="n">
        <v>1086478942</v>
      </c>
      <c r="WZS71" s="518" t="n"/>
      <c r="WZT71" s="519" t="n"/>
      <c r="WZU71" s="519" t="n">
        <v>45341</v>
      </c>
      <c r="WZX71" s="137" t="n">
        <v>218.95</v>
      </c>
      <c r="WZY71" s="30" t="n"/>
      <c r="WZZ71" s="451" t="n"/>
      <c r="XAA71" s="34" t="n"/>
      <c r="XAB71" s="30" t="n"/>
      <c r="XAC71" s="138">
        <f>+WZY71-XAA71-XAC71</f>
        <v/>
      </c>
      <c r="XAD71" s="533" t="n"/>
      <c r="XAE71" s="515" t="inlineStr">
        <is>
          <t>SEGUROS</t>
        </is>
      </c>
      <c r="XAF71" s="534" t="inlineStr">
        <is>
          <t>RIMAC SEGUROS</t>
        </is>
      </c>
      <c r="XAG71" s="447" t="n"/>
      <c r="XAH71" s="529" t="n">
        <v>1086478942</v>
      </c>
      <c r="XAI71" s="518" t="n"/>
      <c r="XAJ71" s="519" t="n"/>
      <c r="XAK71" s="519" t="n">
        <v>45341</v>
      </c>
      <c r="XAN71" s="137" t="n">
        <v>218.95</v>
      </c>
      <c r="XAO71" s="30" t="n"/>
      <c r="XAP71" s="451" t="n"/>
      <c r="XAQ71" s="34" t="n"/>
      <c r="XAR71" s="30" t="n"/>
      <c r="XAS71" s="138">
        <f>+XAO71-XAQ71-XAS71</f>
        <v/>
      </c>
      <c r="XAT71" s="533" t="n"/>
      <c r="XAU71" s="515" t="inlineStr">
        <is>
          <t>SEGUROS</t>
        </is>
      </c>
      <c r="XAV71" s="534" t="inlineStr">
        <is>
          <t>RIMAC SEGUROS</t>
        </is>
      </c>
      <c r="XAW71" s="447" t="n"/>
      <c r="XAX71" s="529" t="n">
        <v>1086478942</v>
      </c>
      <c r="XAY71" s="518" t="n"/>
      <c r="XAZ71" s="519" t="n"/>
      <c r="XBA71" s="519" t="n">
        <v>45341</v>
      </c>
      <c r="XBD71" s="137" t="n">
        <v>218.95</v>
      </c>
      <c r="XBE71" s="30" t="n"/>
      <c r="XBF71" s="451" t="n"/>
      <c r="XBG71" s="34" t="n"/>
      <c r="XBH71" s="30" t="n"/>
      <c r="XBI71" s="138">
        <f>+XBE71-XBG71-XBI71</f>
        <v/>
      </c>
      <c r="XBJ71" s="533" t="n"/>
      <c r="XBK71" s="515" t="inlineStr">
        <is>
          <t>SEGUROS</t>
        </is>
      </c>
      <c r="XBL71" s="534" t="inlineStr">
        <is>
          <t>RIMAC SEGUROS</t>
        </is>
      </c>
      <c r="XBM71" s="447" t="n"/>
      <c r="XBN71" s="529" t="n">
        <v>1086478942</v>
      </c>
      <c r="XBO71" s="518" t="n"/>
      <c r="XBP71" s="519" t="n"/>
      <c r="XBQ71" s="519" t="n">
        <v>45341</v>
      </c>
      <c r="XBT71" s="137" t="n">
        <v>218.95</v>
      </c>
      <c r="XBU71" s="30" t="n"/>
      <c r="XBV71" s="451" t="n"/>
      <c r="XBW71" s="34" t="n"/>
      <c r="XBX71" s="30" t="n"/>
      <c r="XBY71" s="138">
        <f>+XBU71-XBW71-XBY71</f>
        <v/>
      </c>
      <c r="XBZ71" s="533" t="n"/>
      <c r="XCA71" s="515" t="inlineStr">
        <is>
          <t>SEGUROS</t>
        </is>
      </c>
      <c r="XCB71" s="534" t="inlineStr">
        <is>
          <t>RIMAC SEGUROS</t>
        </is>
      </c>
      <c r="XCC71" s="447" t="n"/>
      <c r="XCD71" s="529" t="n">
        <v>1086478942</v>
      </c>
      <c r="XCE71" s="518" t="n"/>
      <c r="XCF71" s="519" t="n"/>
      <c r="XCG71" s="519" t="n">
        <v>45341</v>
      </c>
      <c r="XCJ71" s="137" t="n">
        <v>218.95</v>
      </c>
      <c r="XCK71" s="30" t="n"/>
      <c r="XCL71" s="451" t="n"/>
      <c r="XCM71" s="34" t="n"/>
      <c r="XCN71" s="30" t="n"/>
      <c r="XCO71" s="138">
        <f>+XCK71-XCM71-XCO71</f>
        <v/>
      </c>
      <c r="XCP71" s="533" t="n"/>
      <c r="XCQ71" s="515" t="inlineStr">
        <is>
          <t>SEGUROS</t>
        </is>
      </c>
      <c r="XCR71" s="534" t="inlineStr">
        <is>
          <t>RIMAC SEGUROS</t>
        </is>
      </c>
      <c r="XCS71" s="447" t="n"/>
      <c r="XCT71" s="529" t="n">
        <v>1086478942</v>
      </c>
      <c r="XCU71" s="518" t="n"/>
      <c r="XCV71" s="519" t="n"/>
      <c r="XCW71" s="519" t="n">
        <v>45341</v>
      </c>
      <c r="XCZ71" s="137" t="n">
        <v>218.95</v>
      </c>
      <c r="XDA71" s="30" t="n"/>
      <c r="XDB71" s="451" t="n"/>
      <c r="XDC71" s="34" t="n"/>
      <c r="XDD71" s="30" t="n"/>
      <c r="XDE71" s="138">
        <f>+XDA71-XDC71-XDE71</f>
        <v/>
      </c>
      <c r="XDF71" s="533" t="n"/>
      <c r="XDG71" s="515" t="inlineStr">
        <is>
          <t>SEGUROS</t>
        </is>
      </c>
      <c r="XDH71" s="534" t="inlineStr">
        <is>
          <t>RIMAC SEGUROS</t>
        </is>
      </c>
      <c r="XDI71" s="447" t="n"/>
      <c r="XDJ71" s="529" t="n">
        <v>1086478942</v>
      </c>
      <c r="XDK71" s="518" t="n"/>
      <c r="XDL71" s="519" t="n"/>
      <c r="XDM71" s="519" t="n">
        <v>45341</v>
      </c>
      <c r="XDP71" s="137" t="n">
        <v>218.95</v>
      </c>
      <c r="XDQ71" s="30" t="n"/>
      <c r="XDR71" s="451" t="n"/>
      <c r="XDS71" s="34" t="n"/>
      <c r="XDT71" s="30" t="n"/>
      <c r="XDU71" s="138">
        <f>+XDQ71-XDS71-XDU71</f>
        <v/>
      </c>
      <c r="XDV71" s="533" t="n"/>
      <c r="XDW71" s="515" t="inlineStr">
        <is>
          <t>SEGUROS</t>
        </is>
      </c>
      <c r="XDX71" s="534" t="inlineStr">
        <is>
          <t>RIMAC SEGUROS</t>
        </is>
      </c>
      <c r="XDY71" s="447" t="n"/>
      <c r="XDZ71" s="529" t="n">
        <v>1086478942</v>
      </c>
      <c r="XEA71" s="518" t="n"/>
      <c r="XEB71" s="519" t="n"/>
      <c r="XEC71" s="519" t="n">
        <v>45341</v>
      </c>
      <c r="XEF71" s="137" t="n">
        <v>218.95</v>
      </c>
      <c r="XEG71" s="30" t="n"/>
      <c r="XEH71" s="451" t="n"/>
      <c r="XEI71" s="34" t="n"/>
      <c r="XEJ71" s="30" t="n"/>
      <c r="XEK71" s="138">
        <f>+XEG71-XEI71-XEK71</f>
        <v/>
      </c>
      <c r="XEL71" s="533" t="n"/>
      <c r="XEM71" s="515" t="inlineStr">
        <is>
          <t>SEGUROS</t>
        </is>
      </c>
      <c r="XEN71" s="534" t="inlineStr">
        <is>
          <t>RIMAC SEGUROS</t>
        </is>
      </c>
      <c r="XEO71" s="447" t="n"/>
      <c r="XEP71" s="529" t="n">
        <v>1086478942</v>
      </c>
      <c r="XEQ71" s="518" t="n"/>
      <c r="XER71" s="519" t="n"/>
      <c r="XES71" s="519" t="n">
        <v>45341</v>
      </c>
      <c r="XEV71" s="137" t="n">
        <v>218.95</v>
      </c>
      <c r="XEW71" s="30" t="n"/>
      <c r="XEX71" s="451" t="n"/>
      <c r="XEY71" s="34" t="n"/>
      <c r="XEZ71" s="30" t="n"/>
      <c r="XFA71" s="138">
        <f>+XEW71-XEY71-XFA71</f>
        <v/>
      </c>
      <c r="XFB71" s="533" t="n"/>
      <c r="XFC71" s="515" t="inlineStr">
        <is>
          <t>SEGUROS</t>
        </is>
      </c>
    </row>
    <row r="72" ht="15" customHeight="1" s="418">
      <c r="A72" s="517" t="inlineStr">
        <is>
          <t>LA POSITIVA</t>
        </is>
      </c>
      <c r="B72" s="447" t="n"/>
      <c r="C72" s="529" t="n"/>
      <c r="D72" s="518" t="n"/>
      <c r="E72" s="519" t="n"/>
      <c r="F72" s="519" t="n"/>
      <c r="G72" s="37" t="n"/>
      <c r="H72" s="37" t="n"/>
      <c r="I72" s="137" t="n"/>
      <c r="O72" s="138" t="n"/>
      <c r="P72" s="479" t="n"/>
      <c r="S72" s="516" t="n"/>
      <c r="V72" s="483" t="n"/>
      <c r="W72" s="448" t="n"/>
      <c r="X72" s="448" t="n"/>
      <c r="Y72" s="448" t="n"/>
      <c r="Z72" s="448" t="n"/>
      <c r="AA72" s="448" t="n"/>
      <c r="AB72" s="448" t="n"/>
      <c r="AC72" s="448" t="n"/>
      <c r="AD72" s="448" t="n"/>
      <c r="AE72" s="448" t="n"/>
      <c r="AF72" s="448" t="n"/>
      <c r="AG72" s="448" t="n"/>
      <c r="AH72" s="448" t="n"/>
      <c r="AI72" s="448" t="n"/>
      <c r="AJ72" s="448" t="n"/>
      <c r="AK72" s="448" t="n"/>
      <c r="AL72" s="448" t="n"/>
      <c r="AM72" s="448" t="n"/>
      <c r="AN72" s="448" t="n"/>
      <c r="AO72" s="448" t="n"/>
      <c r="AP72" s="448" t="n"/>
      <c r="AQ72" s="448" t="n"/>
      <c r="AR72" s="448" t="n"/>
      <c r="AS72" s="448" t="n"/>
      <c r="AT72" s="448" t="n"/>
      <c r="AU72" s="448" t="n"/>
      <c r="AV72" s="448" t="n"/>
      <c r="AW72" s="448" t="n"/>
      <c r="AX72" s="448" t="n"/>
      <c r="AY72" s="448" t="n"/>
      <c r="AZ72" s="448" t="n"/>
    </row>
    <row r="73" ht="15" customHeight="1" s="418">
      <c r="A73" s="517" t="inlineStr">
        <is>
          <t>PACIFICO COMPAÑIA DE SEGUROS Y REASEGUROS</t>
        </is>
      </c>
      <c r="B73" s="447" t="n"/>
      <c r="C73" s="529" t="n"/>
      <c r="D73" s="518" t="n"/>
      <c r="E73" s="519" t="n"/>
      <c r="F73" s="519" t="n"/>
      <c r="G73" s="37" t="n"/>
      <c r="H73" s="37" t="n"/>
      <c r="I73" s="137" t="n"/>
      <c r="O73" s="138" t="n"/>
      <c r="P73" s="479" t="n"/>
      <c r="S73" s="516" t="n"/>
      <c r="V73" s="483" t="n"/>
      <c r="W73" s="448" t="n"/>
      <c r="X73" s="448" t="n"/>
      <c r="Y73" s="448" t="n"/>
      <c r="Z73" s="448" t="n"/>
      <c r="AA73" s="448" t="n"/>
      <c r="AB73" s="448" t="n"/>
      <c r="AC73" s="448" t="n"/>
      <c r="AD73" s="448" t="n"/>
      <c r="AE73" s="448" t="n"/>
      <c r="AF73" s="448" t="n"/>
      <c r="AG73" s="448" t="n"/>
      <c r="AH73" s="448" t="n"/>
      <c r="AI73" s="448" t="n"/>
      <c r="AJ73" s="448" t="n"/>
      <c r="AK73" s="448" t="n"/>
      <c r="AL73" s="448" t="n"/>
      <c r="AM73" s="448" t="n"/>
      <c r="AN73" s="448" t="n"/>
      <c r="AO73" s="448" t="n"/>
      <c r="AP73" s="448" t="n"/>
      <c r="AQ73" s="448" t="n"/>
      <c r="AR73" s="448" t="n"/>
      <c r="AS73" s="448" t="n"/>
      <c r="AT73" s="448" t="n"/>
      <c r="AU73" s="448" t="n"/>
      <c r="AV73" s="448" t="n"/>
      <c r="AW73" s="448" t="n"/>
      <c r="AX73" s="448" t="n"/>
      <c r="AY73" s="448" t="n"/>
      <c r="AZ73" s="448" t="n"/>
    </row>
    <row r="74" ht="15" customHeight="1" s="418">
      <c r="A74" s="517" t="inlineStr">
        <is>
          <t>RIMAC SEGUROS</t>
        </is>
      </c>
      <c r="B74" s="447" t="n"/>
      <c r="C74" s="529" t="n"/>
      <c r="D74" s="518" t="n"/>
      <c r="E74" s="519" t="n"/>
      <c r="F74" s="519" t="n"/>
      <c r="G74" s="37" t="n"/>
      <c r="H74" s="37" t="n"/>
      <c r="I74" s="137" t="n"/>
      <c r="O74" s="138" t="n"/>
      <c r="P74" s="479" t="n"/>
      <c r="S74" s="516" t="n"/>
      <c r="V74" s="483" t="n"/>
      <c r="W74" s="448" t="n"/>
      <c r="X74" s="448" t="n"/>
      <c r="Y74" s="448" t="n"/>
      <c r="Z74" s="448" t="n"/>
      <c r="AA74" s="448" t="n"/>
      <c r="AB74" s="448" t="n"/>
      <c r="AC74" s="448" t="n"/>
      <c r="AD74" s="448" t="n"/>
      <c r="AE74" s="448" t="n"/>
      <c r="AF74" s="448" t="n"/>
      <c r="AG74" s="448" t="n"/>
      <c r="AH74" s="448" t="n"/>
      <c r="AI74" s="448" t="n"/>
      <c r="AJ74" s="448" t="n"/>
      <c r="AK74" s="448" t="n"/>
      <c r="AL74" s="448" t="n"/>
      <c r="AM74" s="448" t="n"/>
      <c r="AN74" s="448" t="n"/>
      <c r="AO74" s="448" t="n"/>
      <c r="AP74" s="448" t="n"/>
      <c r="AQ74" s="448" t="n"/>
      <c r="AR74" s="448" t="n"/>
      <c r="AS74" s="448" t="n"/>
      <c r="AT74" s="448" t="n"/>
      <c r="AU74" s="448" t="n"/>
      <c r="AV74" s="448" t="n"/>
      <c r="AW74" s="448" t="n"/>
      <c r="AX74" s="448" t="n"/>
      <c r="AY74" s="448" t="n"/>
      <c r="AZ74" s="448" t="n"/>
    </row>
    <row r="75" ht="15" customHeight="1" s="418">
      <c r="A75" s="517" t="inlineStr">
        <is>
          <t>RIMAC SEGUROS</t>
        </is>
      </c>
      <c r="B75" s="447" t="n"/>
      <c r="C75" s="529" t="n"/>
      <c r="D75" s="518" t="n"/>
      <c r="E75" s="519" t="n"/>
      <c r="F75" s="519" t="n"/>
      <c r="G75" s="37" t="n"/>
      <c r="H75" s="37" t="n"/>
      <c r="I75" s="137" t="n"/>
      <c r="O75" s="138" t="n"/>
      <c r="P75" s="479" t="n"/>
      <c r="S75" s="516" t="n"/>
      <c r="V75" s="483" t="n"/>
      <c r="W75" s="448" t="n"/>
      <c r="X75" s="448" t="n"/>
      <c r="Y75" s="448" t="n"/>
      <c r="Z75" s="448" t="n"/>
      <c r="AA75" s="448" t="n"/>
      <c r="AB75" s="448" t="n"/>
      <c r="AC75" s="448" t="n"/>
      <c r="AD75" s="448" t="n"/>
      <c r="AE75" s="448" t="n"/>
      <c r="AF75" s="448" t="n"/>
      <c r="AG75" s="448" t="n"/>
      <c r="AH75" s="448" t="n"/>
      <c r="AI75" s="448" t="n"/>
      <c r="AJ75" s="448" t="n"/>
      <c r="AK75" s="448" t="n"/>
      <c r="AL75" s="448" t="n"/>
      <c r="AM75" s="448" t="n"/>
      <c r="AN75" s="448" t="n"/>
      <c r="AO75" s="448" t="n"/>
      <c r="AP75" s="448" t="n"/>
      <c r="AQ75" s="448" t="n"/>
      <c r="AR75" s="448" t="n"/>
      <c r="AS75" s="448" t="n"/>
      <c r="AT75" s="448" t="n"/>
      <c r="AU75" s="448" t="n"/>
      <c r="AV75" s="448" t="n"/>
      <c r="AW75" s="448" t="n"/>
      <c r="AX75" s="448" t="n"/>
      <c r="AY75" s="448" t="n"/>
      <c r="AZ75" s="448" t="n"/>
    </row>
    <row r="76" ht="15" customHeight="1" s="418">
      <c r="A76" s="517" t="inlineStr">
        <is>
          <t>RIMAC SEGUROS</t>
        </is>
      </c>
      <c r="B76" s="447" t="n"/>
      <c r="C76" s="529" t="n"/>
      <c r="D76" s="518" t="n"/>
      <c r="E76" s="519" t="n"/>
      <c r="F76" s="519" t="n"/>
      <c r="G76" s="37" t="n"/>
      <c r="H76" s="37" t="n"/>
      <c r="I76" s="137" t="n"/>
      <c r="O76" s="138" t="n"/>
      <c r="P76" s="479" t="n"/>
      <c r="S76" s="516" t="n"/>
      <c r="V76" s="483" t="n"/>
      <c r="W76" s="448" t="n"/>
      <c r="X76" s="448" t="n"/>
      <c r="Y76" s="448" t="n"/>
      <c r="Z76" s="448" t="n"/>
      <c r="AA76" s="448" t="n"/>
      <c r="AB76" s="448" t="n"/>
      <c r="AC76" s="448" t="n"/>
      <c r="AD76" s="448" t="n"/>
      <c r="AE76" s="448" t="n"/>
      <c r="AF76" s="448" t="n"/>
      <c r="AG76" s="448" t="n"/>
      <c r="AH76" s="448" t="n"/>
      <c r="AI76" s="448" t="n"/>
      <c r="AJ76" s="448" t="n"/>
      <c r="AK76" s="448" t="n"/>
      <c r="AL76" s="448" t="n"/>
      <c r="AM76" s="448" t="n"/>
      <c r="AN76" s="448" t="n"/>
      <c r="AO76" s="448" t="n"/>
      <c r="AP76" s="448" t="n"/>
      <c r="AQ76" s="448" t="n"/>
      <c r="AR76" s="448" t="n"/>
      <c r="AS76" s="448" t="n"/>
      <c r="AT76" s="448" t="n"/>
      <c r="AU76" s="448" t="n"/>
      <c r="AV76" s="448" t="n"/>
      <c r="AW76" s="448" t="n"/>
      <c r="AX76" s="448" t="n"/>
      <c r="AY76" s="448" t="n"/>
      <c r="AZ76" s="448" t="n"/>
    </row>
    <row r="77" ht="15" customHeight="1" s="418">
      <c r="A77" s="517" t="inlineStr">
        <is>
          <t>RIMAC SEGUROS</t>
        </is>
      </c>
      <c r="B77" s="447" t="n"/>
      <c r="C77" s="529" t="n"/>
      <c r="D77" s="518" t="n"/>
      <c r="E77" s="519" t="n"/>
      <c r="F77" s="519" t="n"/>
      <c r="G77" s="37" t="n"/>
      <c r="H77" s="37" t="n"/>
      <c r="I77" s="137" t="n"/>
      <c r="O77" s="138" t="n"/>
      <c r="P77" s="479" t="n"/>
      <c r="S77" s="516" t="n"/>
      <c r="V77" s="483" t="n"/>
      <c r="W77" s="448" t="n"/>
      <c r="X77" s="448" t="n"/>
      <c r="Y77" s="448" t="n"/>
      <c r="Z77" s="448" t="n"/>
      <c r="AA77" s="448" t="n"/>
      <c r="AB77" s="448" t="n"/>
      <c r="AC77" s="448" t="n"/>
      <c r="AD77" s="448" t="n"/>
      <c r="AE77" s="448" t="n"/>
      <c r="AF77" s="448" t="n"/>
      <c r="AG77" s="448" t="n"/>
      <c r="AH77" s="448" t="n"/>
      <c r="AI77" s="448" t="n"/>
      <c r="AJ77" s="448" t="n"/>
      <c r="AK77" s="448" t="n"/>
      <c r="AL77" s="448" t="n"/>
      <c r="AM77" s="448" t="n"/>
      <c r="AN77" s="448" t="n"/>
      <c r="AO77" s="448" t="n"/>
      <c r="AP77" s="448" t="n"/>
      <c r="AQ77" s="448" t="n"/>
      <c r="AR77" s="448" t="n"/>
      <c r="AS77" s="448" t="n"/>
      <c r="AT77" s="448" t="n"/>
      <c r="AU77" s="448" t="n"/>
      <c r="AV77" s="448" t="n"/>
      <c r="AW77" s="448" t="n"/>
      <c r="AX77" s="448" t="n"/>
      <c r="AY77" s="448" t="n"/>
      <c r="AZ77" s="448" t="n"/>
    </row>
    <row r="78" ht="15" customHeight="1" s="418">
      <c r="A78" s="520" t="inlineStr">
        <is>
          <t>RIMAC EPS</t>
        </is>
      </c>
      <c r="B78" s="521" t="n"/>
      <c r="C78" s="447" t="n"/>
      <c r="D78" s="523" t="n"/>
      <c r="E78" s="524" t="n"/>
      <c r="F78" s="524" t="n"/>
      <c r="G78" s="129" t="n"/>
      <c r="H78" s="129" t="n"/>
      <c r="I78" s="144" t="n"/>
      <c r="J78" s="535" t="n"/>
      <c r="K78" s="146" t="n"/>
      <c r="L78" s="536" t="n"/>
      <c r="M78" s="148" t="n"/>
      <c r="N78" s="130" t="n"/>
      <c r="O78" s="138" t="n"/>
      <c r="P78" s="538" t="n"/>
      <c r="Q78" s="525" t="n"/>
      <c r="R78" s="525" t="n"/>
      <c r="S78" s="539" t="n"/>
      <c r="V78" s="483" t="n"/>
    </row>
    <row r="79" ht="12.75" customHeight="1" s="418">
      <c r="A79" s="485" t="inlineStr">
        <is>
          <t>TOTAL</t>
        </is>
      </c>
      <c r="B79" s="486" t="n"/>
      <c r="C79" s="486" t="n"/>
      <c r="D79" s="486" t="n"/>
      <c r="E79" s="486" t="n"/>
      <c r="F79" s="486" t="n"/>
      <c r="G79" s="486" t="n"/>
      <c r="H79" s="486" t="n"/>
      <c r="I79" s="486" t="n"/>
      <c r="J79" s="486" t="n"/>
      <c r="K79" s="486" t="n"/>
      <c r="L79" s="486" t="n"/>
      <c r="M79" s="486" t="n"/>
      <c r="N79" s="487" t="n"/>
      <c r="O79" s="80" t="n"/>
      <c r="P79" s="508" t="n"/>
      <c r="Q79" s="494" t="n"/>
      <c r="R79" s="494" t="n"/>
      <c r="S79" s="500" t="n"/>
      <c r="V79" s="483" t="n"/>
      <c r="W79" s="448" t="n"/>
      <c r="X79" s="448" t="n"/>
      <c r="Y79" s="448" t="n"/>
      <c r="Z79" s="448" t="n"/>
      <c r="AA79" s="448" t="n"/>
      <c r="AB79" s="448" t="n"/>
      <c r="AC79" s="448" t="n"/>
      <c r="AD79" s="448" t="n"/>
      <c r="AE79" s="448" t="n"/>
      <c r="AF79" s="448" t="n"/>
      <c r="AG79" s="448" t="n"/>
      <c r="AH79" s="448" t="n"/>
      <c r="AI79" s="448" t="n"/>
      <c r="AJ79" s="448" t="n"/>
      <c r="AK79" s="448" t="n"/>
      <c r="AL79" s="448" t="n"/>
      <c r="AM79" s="448" t="n"/>
      <c r="AN79" s="448" t="n"/>
      <c r="AO79" s="448" t="n"/>
      <c r="AP79" s="448" t="n"/>
      <c r="AQ79" s="448" t="n"/>
      <c r="AR79" s="448" t="n"/>
      <c r="AS79" s="448" t="n"/>
      <c r="AT79" s="448" t="n"/>
      <c r="AU79" s="448" t="n"/>
      <c r="AV79" s="448" t="n"/>
      <c r="AW79" s="448" t="n"/>
      <c r="AX79" s="448" t="n"/>
      <c r="AY79" s="448" t="n"/>
      <c r="AZ79" s="448" t="n"/>
    </row>
    <row r="80" ht="15" customHeight="1" s="418">
      <c r="G80" s="35" t="n"/>
      <c r="P80" s="32" t="n"/>
      <c r="Q80" s="93" t="n"/>
      <c r="R80" s="93" t="n"/>
      <c r="V80" s="483" t="n"/>
      <c r="W80" s="448" t="n"/>
      <c r="X80" s="448" t="n"/>
      <c r="Y80" s="448" t="n"/>
      <c r="Z80" s="448" t="n"/>
      <c r="AA80" s="448" t="n"/>
      <c r="AB80" s="448" t="n"/>
      <c r="AC80" s="448" t="n"/>
      <c r="AD80" s="448" t="n"/>
      <c r="AE80" s="448" t="n"/>
      <c r="AF80" s="448" t="n"/>
      <c r="AG80" s="448" t="n"/>
      <c r="AH80" s="448" t="n"/>
      <c r="AI80" s="448" t="n"/>
      <c r="AJ80" s="448" t="n"/>
      <c r="AK80" s="448" t="n"/>
      <c r="AL80" s="448" t="n"/>
      <c r="AM80" s="448" t="n"/>
      <c r="AN80" s="448" t="n"/>
      <c r="AO80" s="448" t="n"/>
      <c r="AP80" s="448" t="n"/>
      <c r="AQ80" s="448" t="n"/>
      <c r="AR80" s="448" t="n"/>
      <c r="AS80" s="448" t="n"/>
      <c r="AT80" s="448" t="n"/>
      <c r="AU80" s="448" t="n"/>
      <c r="AV80" s="448" t="n"/>
      <c r="AW80" s="448" t="n"/>
      <c r="AX80" s="448" t="n"/>
      <c r="AY80" s="448" t="n"/>
      <c r="AZ80" s="448" t="n"/>
    </row>
    <row r="81" ht="15" customHeight="1" s="418">
      <c r="A81" s="456" t="inlineStr">
        <is>
          <t>Operación 6 - Materia Prima Exterior</t>
        </is>
      </c>
      <c r="E81" s="518" t="n"/>
      <c r="F81" s="518" t="n"/>
      <c r="P81" s="83" t="n"/>
      <c r="S81" s="93" t="n"/>
      <c r="V81" s="483" t="n"/>
    </row>
    <row r="82" ht="15" customHeight="1" s="418">
      <c r="A82" s="491" t="inlineStr">
        <is>
          <t>PROVEEDOR</t>
        </is>
      </c>
      <c r="B82" s="464" t="inlineStr">
        <is>
          <t>TIPO</t>
        </is>
      </c>
      <c r="C82" s="498" t="inlineStr">
        <is>
          <t>N° DOCUMENTO</t>
        </is>
      </c>
      <c r="D82" s="506" t="inlineStr">
        <is>
          <t>FEC. REGISTRO</t>
        </is>
      </c>
      <c r="E82" s="462" t="inlineStr">
        <is>
          <t>FEC.DOC</t>
        </is>
      </c>
      <c r="F82" s="462" t="inlineStr">
        <is>
          <t>FEC.VCTO</t>
        </is>
      </c>
      <c r="G82" s="58" t="inlineStr">
        <is>
          <t>IMPORTE</t>
        </is>
      </c>
      <c r="H82" s="58" t="inlineStr">
        <is>
          <t>PAGADO</t>
        </is>
      </c>
      <c r="I82" s="97" t="inlineStr">
        <is>
          <t>SALDO</t>
        </is>
      </c>
      <c r="J82" s="465" t="inlineStr">
        <is>
          <t>PLAZO</t>
        </is>
      </c>
      <c r="K82" s="98" t="inlineStr">
        <is>
          <t>% DET</t>
        </is>
      </c>
      <c r="L82" s="465" t="inlineStr">
        <is>
          <t>DET</t>
        </is>
      </c>
      <c r="M82" s="58" t="inlineStr">
        <is>
          <t>% RET</t>
        </is>
      </c>
      <c r="N82" s="58" t="inlineStr">
        <is>
          <t>RET</t>
        </is>
      </c>
      <c r="O82" s="58" t="inlineStr">
        <is>
          <t>NETO</t>
        </is>
      </c>
      <c r="P82" s="492" t="inlineStr">
        <is>
          <t>DETALLE</t>
        </is>
      </c>
      <c r="Q82" s="468" t="inlineStr">
        <is>
          <t>N° O/C-O/S</t>
        </is>
      </c>
      <c r="R82" s="492" t="inlineStr">
        <is>
          <t>N° Registro</t>
        </is>
      </c>
      <c r="S82" s="469" t="inlineStr">
        <is>
          <t>LINK FACTURA</t>
        </is>
      </c>
      <c r="V82" s="483" t="n"/>
      <c r="W82" s="448" t="n"/>
      <c r="X82" s="448" t="n"/>
      <c r="Y82" s="448" t="n"/>
      <c r="Z82" s="448" t="n"/>
      <c r="AA82" s="448" t="n"/>
      <c r="AB82" s="448" t="n"/>
      <c r="AC82" s="448" t="n"/>
      <c r="AD82" s="448" t="n"/>
      <c r="AE82" s="448" t="n"/>
      <c r="AF82" s="448" t="n"/>
      <c r="AG82" s="448" t="n"/>
      <c r="AH82" s="448" t="n"/>
      <c r="AI82" s="448" t="n"/>
      <c r="AJ82" s="448" t="n"/>
      <c r="AK82" s="448" t="n"/>
      <c r="AL82" s="448" t="n"/>
      <c r="AM82" s="448" t="n"/>
      <c r="AN82" s="448" t="n"/>
      <c r="AO82" s="448" t="n"/>
      <c r="AP82" s="448" t="n"/>
      <c r="AQ82" s="448" t="n"/>
      <c r="AR82" s="448" t="n"/>
      <c r="AS82" s="448" t="n"/>
      <c r="AT82" s="448" t="n"/>
      <c r="AU82" s="448" t="n"/>
      <c r="AV82" s="448" t="n"/>
      <c r="AW82" s="448" t="n"/>
      <c r="AX82" s="448" t="n"/>
      <c r="AY82" s="448" t="n"/>
      <c r="AZ82" s="448" t="n"/>
    </row>
    <row r="83" ht="15" customHeight="1" s="418">
      <c r="A83" s="470" t="n"/>
      <c r="B83" s="471" t="n"/>
      <c r="C83" s="472" t="n"/>
      <c r="D83" s="473" t="n"/>
      <c r="E83" s="473" t="n"/>
      <c r="F83" s="473" t="n"/>
      <c r="G83" s="474" t="n"/>
      <c r="H83" s="474" t="n"/>
      <c r="I83" s="67" t="n"/>
      <c r="J83" s="475">
        <f>F83-E83</f>
        <v/>
      </c>
      <c r="K83" s="476" t="n"/>
      <c r="L83" s="450" t="n"/>
      <c r="M83" s="477" t="n"/>
      <c r="O83" s="71">
        <f>I83-L83-N83</f>
        <v/>
      </c>
      <c r="P83" s="479" t="n"/>
      <c r="R83" s="480" t="n"/>
      <c r="S83" s="481" t="n"/>
      <c r="T83" s="482" t="n"/>
      <c r="V83" s="483" t="n"/>
      <c r="W83" s="448" t="n"/>
      <c r="X83" s="448" t="n"/>
      <c r="Y83" s="448" t="n"/>
      <c r="Z83" s="448" t="n"/>
      <c r="AA83" s="448" t="n"/>
      <c r="AB83" s="448" t="n"/>
      <c r="AC83" s="448" t="n"/>
      <c r="AD83" s="448" t="n"/>
      <c r="AE83" s="448" t="n"/>
      <c r="AF83" s="448" t="n"/>
      <c r="AG83" s="448" t="n"/>
      <c r="AH83" s="448" t="n"/>
      <c r="AI83" s="448" t="n"/>
      <c r="AJ83" s="448" t="n"/>
      <c r="AK83" s="448" t="n"/>
      <c r="AL83" s="448" t="n"/>
      <c r="AM83" s="448" t="n"/>
      <c r="AN83" s="448" t="n"/>
      <c r="AO83" s="448" t="n"/>
      <c r="AP83" s="448" t="n"/>
      <c r="AQ83" s="448" t="n"/>
      <c r="AR83" s="448" t="n"/>
      <c r="AS83" s="448" t="n"/>
      <c r="AT83" s="448" t="n"/>
      <c r="AU83" s="448" t="n"/>
      <c r="AV83" s="448" t="n"/>
      <c r="AW83" s="448" t="n"/>
      <c r="AX83" s="448" t="n"/>
      <c r="AY83" s="448" t="n"/>
      <c r="AZ83" s="448" t="n"/>
    </row>
    <row r="84" ht="15" customHeight="1" s="418">
      <c r="A84" s="484" t="n"/>
      <c r="B84" s="471" t="n"/>
      <c r="C84" s="472" t="n"/>
      <c r="D84" s="473" t="n"/>
      <c r="E84" s="473" t="n"/>
      <c r="F84" s="473" t="n"/>
      <c r="G84" s="474" t="n"/>
      <c r="H84" s="474" t="n"/>
      <c r="I84" s="67" t="n"/>
      <c r="J84" s="475">
        <f>F84-E84</f>
        <v/>
      </c>
      <c r="K84" s="476" t="n"/>
      <c r="L84" s="450" t="n"/>
      <c r="M84" s="477" t="n"/>
      <c r="O84" s="71">
        <f>I84-L84-N84</f>
        <v/>
      </c>
      <c r="P84" s="479" t="n"/>
      <c r="R84" s="480" t="n"/>
      <c r="S84" s="481" t="n"/>
      <c r="T84" s="482" t="n"/>
      <c r="V84" s="483" t="n"/>
      <c r="W84" s="448" t="n"/>
      <c r="X84" s="448" t="n"/>
      <c r="Y84" s="448" t="n"/>
      <c r="Z84" s="448" t="n"/>
      <c r="AA84" s="448" t="n"/>
      <c r="AB84" s="448" t="n"/>
      <c r="AC84" s="448" t="n"/>
      <c r="AD84" s="448" t="n"/>
      <c r="AE84" s="448" t="n"/>
      <c r="AF84" s="448" t="n"/>
      <c r="AG84" s="448" t="n"/>
      <c r="AH84" s="448" t="n"/>
      <c r="AI84" s="448" t="n"/>
      <c r="AJ84" s="448" t="n"/>
      <c r="AK84" s="448" t="n"/>
      <c r="AL84" s="448" t="n"/>
      <c r="AM84" s="448" t="n"/>
      <c r="AN84" s="448" t="n"/>
      <c r="AO84" s="448" t="n"/>
      <c r="AP84" s="448" t="n"/>
      <c r="AQ84" s="448" t="n"/>
      <c r="AR84" s="448" t="n"/>
      <c r="AS84" s="448" t="n"/>
      <c r="AT84" s="448" t="n"/>
      <c r="AU84" s="448" t="n"/>
      <c r="AV84" s="448" t="n"/>
      <c r="AW84" s="448" t="n"/>
      <c r="AX84" s="448" t="n"/>
      <c r="AY84" s="448" t="n"/>
      <c r="AZ84" s="448" t="n"/>
    </row>
    <row r="85" ht="15" customHeight="1" s="418">
      <c r="A85" s="485" t="inlineStr">
        <is>
          <t>TOTAL</t>
        </is>
      </c>
      <c r="B85" s="486" t="n"/>
      <c r="C85" s="486" t="n"/>
      <c r="D85" s="486" t="n"/>
      <c r="E85" s="486" t="n"/>
      <c r="F85" s="486" t="n"/>
      <c r="G85" s="486" t="n"/>
      <c r="H85" s="486" t="n"/>
      <c r="I85" s="486" t="n"/>
      <c r="J85" s="486" t="n"/>
      <c r="K85" s="486" t="n"/>
      <c r="L85" s="486" t="n"/>
      <c r="M85" s="486" t="n"/>
      <c r="N85" s="487" t="n"/>
      <c r="O85" s="80">
        <f>SUM(O84)</f>
        <v/>
      </c>
      <c r="P85" s="504" t="n"/>
      <c r="Q85" s="495" t="n"/>
      <c r="R85" s="495" t="n"/>
      <c r="S85" s="505" t="n"/>
      <c r="T85" s="541" t="n"/>
    </row>
    <row r="86" ht="15" customHeight="1" s="418">
      <c r="E86" s="518" t="n"/>
      <c r="F86" s="518" t="n"/>
    </row>
    <row r="87" ht="15" customHeight="1" s="418">
      <c r="A87" s="456" t="inlineStr">
        <is>
          <t>Operación 7 - Materia Prima Nacional</t>
        </is>
      </c>
      <c r="F87" s="518" t="n"/>
      <c r="V87" s="37" t="n"/>
    </row>
    <row r="88" ht="15" customHeight="1" s="418">
      <c r="A88" s="491" t="inlineStr">
        <is>
          <t>PROVEEDOR</t>
        </is>
      </c>
      <c r="B88" s="462" t="inlineStr">
        <is>
          <t>TIPO</t>
        </is>
      </c>
      <c r="C88" s="498" t="inlineStr">
        <is>
          <t>N° DOCUMENTO</t>
        </is>
      </c>
      <c r="D88" s="462" t="inlineStr">
        <is>
          <t>FEC. REGISTRO</t>
        </is>
      </c>
      <c r="E88" s="462" t="inlineStr">
        <is>
          <t>FEC.DOC</t>
        </is>
      </c>
      <c r="F88" s="462" t="inlineStr">
        <is>
          <t>FEC.VCTO</t>
        </is>
      </c>
      <c r="G88" s="58" t="inlineStr">
        <is>
          <t>IMPORTE</t>
        </is>
      </c>
      <c r="H88" s="58" t="inlineStr">
        <is>
          <t>PAGADO</t>
        </is>
      </c>
      <c r="I88" s="58" t="inlineStr">
        <is>
          <t>SALDO</t>
        </is>
      </c>
      <c r="J88" s="465" t="inlineStr">
        <is>
          <t>PLAZO</t>
        </is>
      </c>
      <c r="K88" s="98" t="inlineStr">
        <is>
          <t>% DET</t>
        </is>
      </c>
      <c r="L88" s="465" t="inlineStr">
        <is>
          <t>DET</t>
        </is>
      </c>
      <c r="M88" s="58" t="inlineStr">
        <is>
          <t>% RET</t>
        </is>
      </c>
      <c r="N88" s="58" t="inlineStr">
        <is>
          <t>RET</t>
        </is>
      </c>
      <c r="O88" s="58" t="inlineStr">
        <is>
          <t>NETO</t>
        </is>
      </c>
      <c r="P88" s="542" t="inlineStr">
        <is>
          <t>DETALLE</t>
        </is>
      </c>
      <c r="Q88" s="469" t="inlineStr">
        <is>
          <t>N° O/C-O/S</t>
        </is>
      </c>
      <c r="R88" s="468" t="inlineStr">
        <is>
          <t>N° Registro</t>
        </is>
      </c>
      <c r="S88" s="469" t="inlineStr">
        <is>
          <t>LINK FACTURA</t>
        </is>
      </c>
    </row>
    <row r="89" ht="15" customHeight="1" s="418">
      <c r="A89" s="470" t="n"/>
      <c r="B89" s="471" t="n"/>
      <c r="C89" s="472" t="n"/>
      <c r="D89" s="473" t="n"/>
      <c r="E89" s="473" t="n"/>
      <c r="F89" s="473" t="n"/>
      <c r="G89" s="474" t="n"/>
      <c r="H89" s="474" t="n"/>
      <c r="I89" s="67" t="n"/>
      <c r="J89" s="475">
        <f>F89-E89</f>
        <v/>
      </c>
      <c r="K89" s="476" t="n"/>
      <c r="L89" s="450" t="n"/>
      <c r="M89" s="477" t="n"/>
      <c r="O89" s="71">
        <f>I89-L89-N89</f>
        <v/>
      </c>
      <c r="P89" s="479" t="n"/>
      <c r="R89" s="480" t="n"/>
      <c r="S89" s="481" t="n"/>
      <c r="T89" s="482" t="n"/>
      <c r="V89" s="483" t="n"/>
      <c r="W89" s="448" t="n"/>
      <c r="X89" s="448" t="n"/>
      <c r="Y89" s="448" t="n"/>
      <c r="Z89" s="448" t="n"/>
      <c r="AA89" s="448" t="n"/>
      <c r="AB89" s="448" t="n"/>
      <c r="AC89" s="448" t="n"/>
      <c r="AD89" s="448" t="n"/>
      <c r="AE89" s="448" t="n"/>
      <c r="AF89" s="448" t="n"/>
      <c r="AG89" s="448" t="n"/>
      <c r="AH89" s="448" t="n"/>
      <c r="AI89" s="448" t="n"/>
      <c r="AJ89" s="448" t="n"/>
      <c r="AK89" s="448" t="n"/>
      <c r="AL89" s="448" t="n"/>
      <c r="AM89" s="448" t="n"/>
      <c r="AN89" s="448" t="n"/>
      <c r="AO89" s="448" t="n"/>
      <c r="AP89" s="448" t="n"/>
      <c r="AQ89" s="448" t="n"/>
      <c r="AR89" s="448" t="n"/>
      <c r="AS89" s="448" t="n"/>
      <c r="AT89" s="448" t="n"/>
      <c r="AU89" s="448" t="n"/>
      <c r="AV89" s="448" t="n"/>
      <c r="AW89" s="448" t="n"/>
      <c r="AX89" s="448" t="n"/>
      <c r="AY89" s="448" t="n"/>
      <c r="AZ89" s="448" t="n"/>
    </row>
    <row r="90" ht="15" customHeight="1" s="418">
      <c r="A90" s="484" t="n"/>
      <c r="B90" s="471" t="n"/>
      <c r="C90" s="472" t="n"/>
      <c r="D90" s="473" t="n"/>
      <c r="E90" s="473" t="n"/>
      <c r="F90" s="473" t="n"/>
      <c r="G90" s="474" t="n"/>
      <c r="H90" s="474" t="n"/>
      <c r="I90" s="67" t="n"/>
      <c r="J90" s="475">
        <f>F90-E90</f>
        <v/>
      </c>
      <c r="K90" s="476" t="n"/>
      <c r="L90" s="450" t="n"/>
      <c r="M90" s="477" t="n"/>
      <c r="O90" s="71">
        <f>I90-L90-N90</f>
        <v/>
      </c>
      <c r="P90" s="479" t="n"/>
      <c r="R90" s="480" t="n"/>
      <c r="S90" s="481" t="n"/>
      <c r="T90" s="482" t="n"/>
      <c r="V90" s="483" t="n"/>
      <c r="W90" s="448" t="n"/>
      <c r="X90" s="448" t="n"/>
      <c r="Y90" s="448" t="n"/>
      <c r="Z90" s="448" t="n"/>
      <c r="AA90" s="448" t="n"/>
      <c r="AB90" s="448" t="n"/>
      <c r="AC90" s="448" t="n"/>
      <c r="AD90" s="448" t="n"/>
      <c r="AE90" s="448" t="n"/>
      <c r="AF90" s="448" t="n"/>
      <c r="AG90" s="448" t="n"/>
      <c r="AH90" s="448" t="n"/>
      <c r="AI90" s="448" t="n"/>
      <c r="AJ90" s="448" t="n"/>
      <c r="AK90" s="448" t="n"/>
      <c r="AL90" s="448" t="n"/>
      <c r="AM90" s="448" t="n"/>
      <c r="AN90" s="448" t="n"/>
      <c r="AO90" s="448" t="n"/>
      <c r="AP90" s="448" t="n"/>
      <c r="AQ90" s="448" t="n"/>
      <c r="AR90" s="448" t="n"/>
      <c r="AS90" s="448" t="n"/>
      <c r="AT90" s="448" t="n"/>
      <c r="AU90" s="448" t="n"/>
      <c r="AV90" s="448" t="n"/>
      <c r="AW90" s="448" t="n"/>
      <c r="AX90" s="448" t="n"/>
      <c r="AY90" s="448" t="n"/>
      <c r="AZ90" s="448" t="n"/>
    </row>
    <row r="91" ht="15" customHeight="1" s="418">
      <c r="A91" s="485" t="inlineStr">
        <is>
          <t>TOTAL</t>
        </is>
      </c>
      <c r="B91" s="486" t="n"/>
      <c r="C91" s="486" t="n"/>
      <c r="D91" s="486" t="n"/>
      <c r="E91" s="486" t="n"/>
      <c r="F91" s="486" t="n"/>
      <c r="G91" s="486" t="n"/>
      <c r="H91" s="486" t="n"/>
      <c r="I91" s="486" t="n"/>
      <c r="J91" s="486" t="n"/>
      <c r="K91" s="486" t="n"/>
      <c r="L91" s="486" t="n"/>
      <c r="M91" s="486" t="n"/>
      <c r="N91" s="487" t="n"/>
      <c r="O91" s="80">
        <f>SUM(O90)</f>
        <v/>
      </c>
      <c r="P91" s="504" t="n"/>
      <c r="Q91" s="495" t="n"/>
      <c r="R91" s="495" t="n"/>
      <c r="S91" s="496" t="n"/>
    </row>
    <row r="92" ht="15" customHeight="1" s="418">
      <c r="A92" s="543" t="n"/>
      <c r="B92" s="543" t="n"/>
      <c r="C92" s="543" t="n"/>
      <c r="D92" s="543" t="n"/>
      <c r="E92" s="543" t="n"/>
      <c r="F92" s="543" t="n"/>
      <c r="G92" s="543" t="n"/>
      <c r="H92" s="544" t="n"/>
      <c r="I92" s="157" t="n"/>
      <c r="J92" s="545" t="n"/>
      <c r="K92" s="455" t="n"/>
      <c r="L92" s="546" t="n"/>
      <c r="M92" s="547" t="n"/>
      <c r="N92" s="548" t="n"/>
      <c r="O92" s="157" t="n"/>
    </row>
    <row r="93" ht="15" customFormat="1" customHeight="1" s="453">
      <c r="A93" s="456" t="inlineStr">
        <is>
          <t>Operación 8 - Transferencias entre cuentas</t>
        </is>
      </c>
      <c r="B93" s="452" t="n"/>
      <c r="C93" s="455" t="n"/>
      <c r="D93" s="452" t="n"/>
      <c r="E93" s="452" t="n"/>
      <c r="F93" s="549" t="n"/>
      <c r="G93" s="34" t="n"/>
      <c r="H93" s="34" t="n"/>
      <c r="I93" s="34" t="n"/>
      <c r="J93" s="451" t="n"/>
      <c r="K93" s="40" t="n"/>
      <c r="L93" s="451" t="n"/>
      <c r="M93" s="34" t="n"/>
      <c r="N93" s="34" t="n"/>
      <c r="O93" s="41" t="n"/>
      <c r="P93" s="455" t="n"/>
      <c r="Q93" s="452" t="n"/>
      <c r="R93" s="452" t="n"/>
      <c r="S93" s="452" t="n"/>
      <c r="T93" s="452" t="n"/>
      <c r="U93" s="37" t="n"/>
    </row>
    <row r="94" ht="15" customHeight="1" s="418">
      <c r="A94" s="491" t="inlineStr">
        <is>
          <t>PROVEEDOR</t>
        </is>
      </c>
      <c r="B94" s="462" t="inlineStr">
        <is>
          <t>TIPO</t>
        </is>
      </c>
      <c r="C94" s="498" t="inlineStr">
        <is>
          <t>N° DOCUMENTO</t>
        </is>
      </c>
      <c r="D94" s="462" t="inlineStr">
        <is>
          <t>FEC. REGISTRO</t>
        </is>
      </c>
      <c r="E94" s="462" t="inlineStr">
        <is>
          <t>FEC.DOC</t>
        </is>
      </c>
      <c r="F94" s="462" t="inlineStr">
        <is>
          <t>FEC.VCTO</t>
        </is>
      </c>
      <c r="G94" s="58" t="inlineStr">
        <is>
          <t>IMPORTE</t>
        </is>
      </c>
      <c r="H94" s="58" t="inlineStr">
        <is>
          <t>PAGADO</t>
        </is>
      </c>
      <c r="I94" s="58" t="inlineStr">
        <is>
          <t>SALDO</t>
        </is>
      </c>
      <c r="J94" s="465" t="inlineStr">
        <is>
          <t>PLAZO</t>
        </is>
      </c>
      <c r="K94" s="98" t="inlineStr">
        <is>
          <t>% DET</t>
        </is>
      </c>
      <c r="L94" s="465" t="inlineStr">
        <is>
          <t>DET</t>
        </is>
      </c>
      <c r="M94" s="58" t="inlineStr">
        <is>
          <t>% RET</t>
        </is>
      </c>
      <c r="N94" s="58" t="inlineStr">
        <is>
          <t>RET</t>
        </is>
      </c>
      <c r="O94" s="58" t="inlineStr">
        <is>
          <t>NETO</t>
        </is>
      </c>
      <c r="P94" s="542" t="inlineStr">
        <is>
          <t>DETALLE</t>
        </is>
      </c>
      <c r="Q94" s="469" t="inlineStr">
        <is>
          <t>N° O/C-O/S</t>
        </is>
      </c>
      <c r="R94" s="492" t="inlineStr">
        <is>
          <t>N° Registro</t>
        </is>
      </c>
      <c r="S94" s="469" t="inlineStr">
        <is>
          <t>LINK FACTURA</t>
        </is>
      </c>
    </row>
    <row r="95" ht="15" customHeight="1" s="418">
      <c r="A95" s="470" t="n"/>
      <c r="B95" s="471" t="n"/>
      <c r="C95" s="472" t="n"/>
      <c r="D95" s="473" t="n"/>
      <c r="E95" s="473" t="n"/>
      <c r="F95" s="473" t="n"/>
      <c r="G95" s="474" t="n"/>
      <c r="H95" s="474" t="n"/>
      <c r="I95" s="67" t="n"/>
      <c r="J95" s="475">
        <f>F95-E95</f>
        <v/>
      </c>
      <c r="K95" s="476" t="n"/>
      <c r="L95" s="450" t="n"/>
      <c r="M95" s="477" t="n"/>
      <c r="O95" s="71">
        <f>I95-L95-N95</f>
        <v/>
      </c>
      <c r="P95" s="479" t="n"/>
      <c r="R95" s="480" t="n"/>
      <c r="S95" s="481" t="n"/>
      <c r="T95" s="482" t="n"/>
      <c r="V95" s="483" t="n"/>
      <c r="W95" s="448" t="n"/>
      <c r="X95" s="448" t="n"/>
      <c r="Y95" s="448" t="n"/>
      <c r="Z95" s="448" t="n"/>
      <c r="AA95" s="448" t="n"/>
      <c r="AB95" s="448" t="n"/>
      <c r="AC95" s="448" t="n"/>
      <c r="AD95" s="448" t="n"/>
      <c r="AE95" s="448" t="n"/>
      <c r="AF95" s="448" t="n"/>
      <c r="AG95" s="448" t="n"/>
      <c r="AH95" s="448" t="n"/>
      <c r="AI95" s="448" t="n"/>
      <c r="AJ95" s="448" t="n"/>
      <c r="AK95" s="448" t="n"/>
      <c r="AL95" s="448" t="n"/>
      <c r="AM95" s="448" t="n"/>
      <c r="AN95" s="448" t="n"/>
      <c r="AO95" s="448" t="n"/>
      <c r="AP95" s="448" t="n"/>
      <c r="AQ95" s="448" t="n"/>
      <c r="AR95" s="448" t="n"/>
      <c r="AS95" s="448" t="n"/>
      <c r="AT95" s="448" t="n"/>
      <c r="AU95" s="448" t="n"/>
      <c r="AV95" s="448" t="n"/>
      <c r="AW95" s="448" t="n"/>
      <c r="AX95" s="448" t="n"/>
      <c r="AY95" s="448" t="n"/>
      <c r="AZ95" s="448" t="n"/>
    </row>
    <row r="96" ht="15" customHeight="1" s="418">
      <c r="A96" s="484" t="n"/>
      <c r="B96" s="471" t="n"/>
      <c r="C96" s="472" t="n"/>
      <c r="D96" s="473" t="n"/>
      <c r="E96" s="473" t="n"/>
      <c r="F96" s="473" t="n"/>
      <c r="G96" s="474" t="n"/>
      <c r="H96" s="474" t="n"/>
      <c r="I96" s="67" t="n"/>
      <c r="J96" s="475">
        <f>F96-E96</f>
        <v/>
      </c>
      <c r="K96" s="476" t="n"/>
      <c r="L96" s="450" t="n"/>
      <c r="M96" s="477" t="n"/>
      <c r="O96" s="71">
        <f>I96-L96-N96</f>
        <v/>
      </c>
      <c r="P96" s="479" t="n"/>
      <c r="R96" s="480" t="n"/>
      <c r="S96" s="481" t="n"/>
      <c r="T96" s="482" t="n"/>
      <c r="V96" s="483" t="n"/>
      <c r="W96" s="448" t="n"/>
      <c r="X96" s="448" t="n"/>
      <c r="Y96" s="448" t="n"/>
      <c r="Z96" s="448" t="n"/>
      <c r="AA96" s="448" t="n"/>
      <c r="AB96" s="448" t="n"/>
      <c r="AC96" s="448" t="n"/>
      <c r="AD96" s="448" t="n"/>
      <c r="AE96" s="448" t="n"/>
      <c r="AF96" s="448" t="n"/>
      <c r="AG96" s="448" t="n"/>
      <c r="AH96" s="448" t="n"/>
      <c r="AI96" s="448" t="n"/>
      <c r="AJ96" s="448" t="n"/>
      <c r="AK96" s="448" t="n"/>
      <c r="AL96" s="448" t="n"/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</row>
    <row r="97" ht="15" customHeight="1" s="418">
      <c r="A97" s="485" t="inlineStr">
        <is>
          <t>TOTAL</t>
        </is>
      </c>
      <c r="B97" s="486" t="n"/>
      <c r="C97" s="486" t="n"/>
      <c r="D97" s="486" t="n"/>
      <c r="E97" s="486" t="n"/>
      <c r="F97" s="486" t="n"/>
      <c r="G97" s="486" t="n"/>
      <c r="H97" s="486" t="n"/>
      <c r="I97" s="486" t="n"/>
      <c r="J97" s="486" t="n"/>
      <c r="K97" s="486" t="n"/>
      <c r="L97" s="486" t="n"/>
      <c r="M97" s="486" t="n"/>
      <c r="N97" s="487" t="n"/>
      <c r="O97" s="80">
        <f>SUM(O92:O96)</f>
        <v/>
      </c>
      <c r="P97" s="504" t="n"/>
      <c r="Q97" s="495" t="n"/>
      <c r="R97" s="495" t="n"/>
      <c r="S97" s="496" t="n"/>
    </row>
    <row r="98" ht="15" customHeight="1" s="418">
      <c r="A98" s="543" t="n"/>
      <c r="B98" s="550" t="n"/>
      <c r="C98" s="550" t="n"/>
      <c r="D98" s="551" t="n"/>
      <c r="E98" s="551" t="n"/>
      <c r="F98" s="551" t="n"/>
      <c r="G98" s="552" t="n"/>
      <c r="I98" s="166" t="n"/>
      <c r="J98" s="553" t="n"/>
      <c r="K98" s="554" t="n"/>
      <c r="L98" s="450" t="n"/>
      <c r="M98" s="477" t="n"/>
      <c r="O98" s="42" t="n"/>
      <c r="P98" s="478" t="n"/>
      <c r="R98" s="555" t="n"/>
      <c r="S98" s="555" t="n"/>
    </row>
    <row r="99" ht="15" customHeight="1" s="418">
      <c r="A99" s="543" t="n"/>
      <c r="B99" s="550" t="n"/>
      <c r="C99" s="550" t="n"/>
      <c r="D99" s="551" t="n"/>
      <c r="E99" s="551" t="n"/>
      <c r="F99" s="551" t="n"/>
      <c r="G99" s="552" t="n"/>
      <c r="I99" s="166" t="n"/>
      <c r="J99" s="553" t="n"/>
      <c r="K99" s="554" t="n"/>
      <c r="L99" s="450" t="n"/>
      <c r="M99" s="477" t="n"/>
      <c r="O99" s="42" t="n"/>
      <c r="P99" s="478" t="n"/>
      <c r="R99" s="555" t="n"/>
      <c r="S99" s="555" t="n"/>
    </row>
    <row r="100" ht="15" customHeight="1" s="418">
      <c r="A100" s="543" t="n"/>
      <c r="B100" s="550" t="n"/>
      <c r="C100" s="550" t="n"/>
      <c r="D100" s="551" t="n"/>
      <c r="E100" s="551" t="n"/>
      <c r="F100" s="551" t="n"/>
      <c r="G100" s="552" t="n"/>
      <c r="I100" s="166" t="n"/>
      <c r="J100" s="553" t="n"/>
      <c r="K100" s="554" t="n"/>
      <c r="L100" s="450" t="n"/>
      <c r="M100" s="477" t="n"/>
      <c r="O100" s="42" t="n"/>
      <c r="P100" s="478" t="n"/>
      <c r="R100" s="555" t="n"/>
      <c r="S100" s="555" t="n"/>
      <c r="U100" s="30" t="n"/>
      <c r="V100" s="448" t="n"/>
      <c r="W100" s="448" t="n"/>
      <c r="X100" s="448" t="n"/>
      <c r="Y100" s="448" t="n"/>
      <c r="Z100" s="448" t="n"/>
      <c r="AA100" s="448" t="n"/>
      <c r="AB100" s="448" t="n"/>
      <c r="AC100" s="448" t="n"/>
      <c r="AD100" s="448" t="n"/>
      <c r="AE100" s="448" t="n"/>
      <c r="AF100" s="448" t="n"/>
      <c r="AG100" s="448" t="n"/>
      <c r="AH100" s="448" t="n"/>
      <c r="AI100" s="448" t="n"/>
      <c r="AJ100" s="448" t="n"/>
      <c r="AK100" s="448" t="n"/>
      <c r="AL100" s="448" t="n"/>
      <c r="AM100" s="448" t="n"/>
      <c r="AN100" s="448" t="n"/>
      <c r="AO100" s="448" t="n"/>
      <c r="AP100" s="448" t="n"/>
      <c r="AQ100" s="448" t="n"/>
      <c r="AR100" s="448" t="n"/>
      <c r="AS100" s="448" t="n"/>
      <c r="AT100" s="448" t="n"/>
      <c r="AU100" s="448" t="n"/>
      <c r="AV100" s="448" t="n"/>
      <c r="AW100" s="448" t="n"/>
      <c r="AX100" s="448" t="n"/>
      <c r="AY100" s="448" t="n"/>
      <c r="AZ100" s="448" t="n"/>
    </row>
    <row r="101" ht="15" customHeight="1" s="418">
      <c r="A101" s="543" t="n"/>
      <c r="B101" s="550" t="n"/>
      <c r="C101" s="550" t="n"/>
      <c r="D101" s="551" t="n"/>
      <c r="E101" s="551" t="n"/>
      <c r="F101" s="551" t="n"/>
      <c r="G101" s="552" t="n"/>
      <c r="I101" s="166" t="n"/>
      <c r="J101" s="553" t="n"/>
      <c r="K101" s="554" t="n"/>
      <c r="L101" s="450" t="n"/>
      <c r="M101" s="477" t="n"/>
      <c r="O101" s="42" t="n"/>
      <c r="P101" s="478" t="n"/>
      <c r="R101" s="555" t="n"/>
      <c r="S101" s="555" t="n"/>
      <c r="U101" s="30" t="n"/>
      <c r="V101" s="448" t="n"/>
      <c r="W101" s="448" t="n"/>
      <c r="X101" s="448" t="n"/>
      <c r="Y101" s="448" t="n"/>
      <c r="Z101" s="448" t="n"/>
      <c r="AA101" s="448" t="n"/>
      <c r="AB101" s="448" t="n"/>
      <c r="AC101" s="448" t="n"/>
      <c r="AD101" s="448" t="n"/>
      <c r="AE101" s="448" t="n"/>
      <c r="AF101" s="448" t="n"/>
      <c r="AG101" s="448" t="n"/>
      <c r="AH101" s="448" t="n"/>
      <c r="AI101" s="448" t="n"/>
      <c r="AJ101" s="448" t="n"/>
      <c r="AK101" s="448" t="n"/>
      <c r="AL101" s="448" t="n"/>
      <c r="AM101" s="448" t="n"/>
      <c r="AN101" s="448" t="n"/>
      <c r="AO101" s="448" t="n"/>
      <c r="AP101" s="448" t="n"/>
      <c r="AQ101" s="448" t="n"/>
      <c r="AR101" s="448" t="n"/>
      <c r="AS101" s="448" t="n"/>
      <c r="AT101" s="448" t="n"/>
      <c r="AU101" s="448" t="n"/>
      <c r="AV101" s="448" t="n"/>
      <c r="AW101" s="448" t="n"/>
      <c r="AX101" s="448" t="n"/>
      <c r="AY101" s="448" t="n"/>
      <c r="AZ101" s="448" t="n"/>
    </row>
    <row r="102" ht="15" customHeight="1" s="418">
      <c r="A102" s="543" t="n"/>
      <c r="B102" s="550" t="n"/>
      <c r="C102" s="550" t="n"/>
      <c r="D102" s="551" t="n"/>
      <c r="E102" s="551" t="n"/>
      <c r="F102" s="551" t="n"/>
      <c r="G102" s="552" t="n"/>
      <c r="I102" s="166" t="n"/>
      <c r="J102" s="553" t="n"/>
      <c r="K102" s="554" t="n"/>
      <c r="L102" s="450" t="n"/>
      <c r="M102" s="477" t="n"/>
      <c r="O102" s="42" t="n"/>
      <c r="P102" s="478" t="n"/>
      <c r="R102" s="555" t="n"/>
      <c r="S102" s="555" t="n"/>
    </row>
    <row r="103" ht="15" customHeight="1" s="418">
      <c r="A103" s="543" t="n"/>
      <c r="B103" s="550" t="n"/>
      <c r="C103" s="550" t="n"/>
      <c r="D103" s="551" t="n"/>
      <c r="E103" s="551" t="n"/>
      <c r="F103" s="551" t="n"/>
      <c r="G103" s="552" t="n"/>
      <c r="I103" s="166" t="n"/>
      <c r="J103" s="553" t="n"/>
      <c r="K103" s="554" t="n"/>
      <c r="L103" s="450" t="n"/>
      <c r="M103" s="477" t="n"/>
      <c r="O103" s="42" t="n"/>
      <c r="P103" s="478" t="n"/>
      <c r="R103" s="555" t="n"/>
      <c r="S103" s="555" t="n"/>
    </row>
    <row r="104" ht="15" customHeight="1" s="418">
      <c r="A104" s="543" t="n"/>
      <c r="B104" s="550" t="n"/>
      <c r="C104" s="550" t="n"/>
      <c r="D104" s="551" t="n"/>
      <c r="E104" s="551" t="n"/>
      <c r="F104" s="551" t="n"/>
      <c r="G104" s="552" t="n"/>
      <c r="I104" s="166" t="n"/>
      <c r="J104" s="553" t="n"/>
      <c r="K104" s="554" t="n"/>
      <c r="L104" s="450" t="n"/>
      <c r="M104" s="477" t="n"/>
      <c r="O104" s="42" t="n"/>
      <c r="P104" s="478" t="n"/>
      <c r="R104" s="555" t="n"/>
      <c r="S104" s="555" t="n"/>
    </row>
    <row r="105" ht="15" customHeight="1" s="418">
      <c r="A105" s="543" t="n"/>
      <c r="B105" s="550" t="n"/>
      <c r="C105" s="550" t="n"/>
      <c r="D105" s="551" t="n"/>
      <c r="E105" s="551" t="n"/>
      <c r="F105" s="551" t="n"/>
      <c r="G105" s="552" t="n"/>
      <c r="I105" s="166" t="n"/>
      <c r="J105" s="553" t="n"/>
      <c r="K105" s="554" t="n"/>
      <c r="L105" s="450" t="n"/>
      <c r="M105" s="477" t="n"/>
      <c r="O105" s="42" t="n"/>
      <c r="P105" s="478" t="n"/>
      <c r="R105" s="555" t="n"/>
      <c r="S105" s="555" t="n"/>
    </row>
    <row r="106" ht="15" customHeight="1" s="418">
      <c r="A106" s="543" t="n"/>
      <c r="B106" s="550" t="n"/>
      <c r="C106" s="550" t="n"/>
      <c r="D106" s="551" t="n"/>
      <c r="E106" s="551" t="n"/>
      <c r="F106" s="551" t="n"/>
      <c r="K106" s="554" t="n"/>
      <c r="L106" s="450" t="n"/>
      <c r="M106" s="477" t="n"/>
      <c r="O106" s="42" t="n"/>
      <c r="P106" s="478" t="n"/>
      <c r="R106" s="555" t="n"/>
      <c r="S106" s="555" t="n"/>
    </row>
    <row r="107" ht="15" customHeight="1" s="418">
      <c r="A107" s="543" t="n"/>
      <c r="B107" s="550" t="n"/>
      <c r="C107" s="550" t="n"/>
      <c r="D107" s="551" t="n"/>
      <c r="E107" s="551" t="n"/>
      <c r="F107" s="551" t="n"/>
      <c r="G107" s="552" t="n"/>
      <c r="I107" s="166" t="n"/>
      <c r="J107" s="553" t="n"/>
      <c r="K107" s="554" t="n"/>
      <c r="L107" s="450" t="n"/>
      <c r="M107" s="477" t="n"/>
      <c r="O107" s="42" t="n"/>
      <c r="P107" s="478" t="n"/>
      <c r="R107" s="555" t="n"/>
      <c r="S107" s="555" t="n"/>
      <c r="U107" s="30" t="n"/>
      <c r="V107" s="448" t="n"/>
      <c r="W107" s="448" t="n"/>
      <c r="X107" s="448" t="n"/>
      <c r="Y107" s="448" t="n"/>
      <c r="Z107" s="448" t="n"/>
      <c r="AA107" s="448" t="n"/>
      <c r="AB107" s="448" t="n"/>
      <c r="AC107" s="448" t="n"/>
      <c r="AD107" s="448" t="n"/>
      <c r="AE107" s="448" t="n"/>
      <c r="AF107" s="448" t="n"/>
      <c r="AG107" s="448" t="n"/>
      <c r="AH107" s="448" t="n"/>
      <c r="AI107" s="448" t="n"/>
      <c r="AJ107" s="448" t="n"/>
      <c r="AK107" s="448" t="n"/>
      <c r="AL107" s="448" t="n"/>
      <c r="AM107" s="448" t="n"/>
      <c r="AN107" s="448" t="n"/>
      <c r="AO107" s="448" t="n"/>
      <c r="AP107" s="448" t="n"/>
      <c r="AQ107" s="448" t="n"/>
      <c r="AR107" s="448" t="n"/>
      <c r="AS107" s="448" t="n"/>
      <c r="AT107" s="448" t="n"/>
      <c r="AU107" s="448" t="n"/>
      <c r="AV107" s="448" t="n"/>
      <c r="AW107" s="448" t="n"/>
      <c r="AX107" s="448" t="n"/>
      <c r="AY107" s="448" t="n"/>
      <c r="AZ107" s="448" t="n"/>
    </row>
    <row r="108" ht="15" customHeight="1" s="418">
      <c r="A108" s="453" t="n"/>
      <c r="B108" s="550" t="n"/>
      <c r="C108" s="550" t="n"/>
      <c r="D108" s="551" t="n"/>
      <c r="E108" s="551" t="n"/>
      <c r="F108" s="452" t="n"/>
      <c r="L108" s="450" t="n"/>
      <c r="M108" s="30" t="n"/>
      <c r="O108" s="42" t="n"/>
    </row>
    <row r="109" ht="15" customHeight="1" s="418">
      <c r="A109" s="453" t="n"/>
      <c r="B109" s="550" t="n"/>
      <c r="C109" s="550" t="n"/>
      <c r="D109" s="551" t="n"/>
      <c r="E109" s="551" t="n"/>
      <c r="F109" s="452" t="n"/>
      <c r="L109" s="450" t="n"/>
      <c r="M109" s="30" t="n"/>
      <c r="O109" s="42" t="n"/>
    </row>
    <row r="110" ht="15" customHeight="1" s="418">
      <c r="A110" s="453" t="n"/>
      <c r="B110" s="550" t="n"/>
      <c r="C110" s="550" t="n"/>
      <c r="D110" s="551" t="n"/>
      <c r="E110" s="551" t="n"/>
      <c r="F110" s="452" t="n"/>
      <c r="L110" s="450" t="n"/>
      <c r="M110" s="30" t="n"/>
      <c r="O110" s="42" t="n"/>
    </row>
    <row r="111" ht="15" customFormat="1" customHeight="1" s="453">
      <c r="B111" s="550" t="n"/>
      <c r="C111" s="550" t="n"/>
      <c r="D111" s="551" t="n"/>
      <c r="E111" s="551" t="n"/>
      <c r="F111" s="452" t="n"/>
      <c r="G111" s="30" t="n"/>
      <c r="H111" s="30" t="n"/>
      <c r="I111" s="30" t="n"/>
      <c r="J111" s="450" t="n"/>
      <c r="K111" s="32" t="n"/>
      <c r="L111" s="450" t="n"/>
      <c r="M111" s="30" t="n"/>
      <c r="N111" s="30" t="n"/>
      <c r="O111" s="42" t="n"/>
      <c r="P111" s="449" t="n"/>
      <c r="Q111" s="448" t="n"/>
      <c r="R111" s="448" t="n"/>
      <c r="S111" s="448" t="n"/>
      <c r="T111" s="452" t="n"/>
      <c r="U111" s="34" t="n"/>
      <c r="V111" s="170" t="n"/>
      <c r="X111" s="452" t="n"/>
      <c r="Y111" s="452" t="n"/>
      <c r="Z111" s="452" t="n"/>
      <c r="AA111" s="452" t="n"/>
      <c r="AB111" s="452" t="n"/>
      <c r="AC111" s="452" t="n"/>
      <c r="AD111" s="452" t="n"/>
      <c r="AE111" s="452" t="n"/>
      <c r="AF111" s="452" t="n"/>
      <c r="AG111" s="452" t="n"/>
      <c r="AH111" s="452" t="n"/>
      <c r="AI111" s="452" t="n"/>
      <c r="AJ111" s="452" t="n"/>
      <c r="AK111" s="452" t="n"/>
      <c r="AL111" s="452" t="n"/>
      <c r="AM111" s="452" t="n"/>
      <c r="AN111" s="452" t="n"/>
      <c r="AO111" s="452" t="n"/>
      <c r="AP111" s="452" t="n"/>
      <c r="AQ111" s="452" t="n"/>
      <c r="AR111" s="452" t="n"/>
      <c r="AS111" s="452" t="n"/>
      <c r="AT111" s="452" t="n"/>
      <c r="AU111" s="452" t="n"/>
      <c r="AV111" s="452" t="n"/>
      <c r="AW111" s="452" t="n"/>
      <c r="AX111" s="452" t="n"/>
      <c r="AY111" s="452" t="n"/>
      <c r="AZ111" s="452" t="n"/>
    </row>
    <row r="112" ht="15" customHeight="1" s="418">
      <c r="A112" s="453" t="n"/>
      <c r="B112" s="452" t="n"/>
      <c r="C112" s="455" t="n"/>
      <c r="D112" s="452" t="n"/>
      <c r="E112" s="452" t="n"/>
      <c r="F112" s="452" t="n"/>
      <c r="L112" s="450" t="n"/>
      <c r="M112" s="30" t="n"/>
      <c r="O112" s="42" t="n"/>
    </row>
    <row r="113" ht="15" customHeight="1" s="418">
      <c r="A113" s="543" t="n"/>
      <c r="B113" s="543" t="n"/>
      <c r="C113" s="171" t="n"/>
      <c r="D113" s="556" t="n"/>
      <c r="E113" s="556" t="n"/>
      <c r="F113" s="556" t="n"/>
      <c r="G113" s="552" t="n"/>
      <c r="H113" s="552" t="n"/>
      <c r="I113" s="166" t="n"/>
      <c r="J113" s="553" t="n"/>
      <c r="L113" s="450" t="n"/>
      <c r="M113" s="30" t="n"/>
      <c r="O113" s="42" t="n"/>
      <c r="S113" s="502" t="n"/>
    </row>
    <row r="114" ht="15" customHeight="1" s="418">
      <c r="A114" s="543" t="n"/>
      <c r="B114" s="543" t="n"/>
      <c r="C114" s="171" t="n"/>
      <c r="D114" s="556" t="n"/>
      <c r="E114" s="556" t="n"/>
      <c r="F114" s="556" t="n"/>
      <c r="G114" s="552" t="n"/>
      <c r="H114" s="552" t="n"/>
      <c r="I114" s="166" t="n"/>
      <c r="J114" s="553" t="n"/>
      <c r="L114" s="450" t="n"/>
      <c r="M114" s="30" t="n"/>
      <c r="O114" s="42" t="n"/>
      <c r="S114" s="502" t="n"/>
    </row>
    <row r="115" ht="15" customHeight="1" s="418">
      <c r="A115" s="543" t="n"/>
      <c r="B115" s="452" t="n"/>
      <c r="C115" s="171" t="n"/>
      <c r="D115" s="452" t="n"/>
      <c r="E115" s="452" t="n"/>
      <c r="F115" s="452" t="n"/>
      <c r="L115" s="450" t="n"/>
      <c r="M115" s="30" t="n"/>
      <c r="O115" s="42" t="n"/>
    </row>
    <row r="116" ht="15" customHeight="1" s="418">
      <c r="C116" s="173" t="n"/>
      <c r="L116" s="450" t="n"/>
      <c r="M116" s="30" t="n"/>
      <c r="O116" s="42" t="n"/>
    </row>
    <row r="117" ht="15" customHeight="1" s="418">
      <c r="L117" s="450" t="n"/>
      <c r="M117" s="30" t="n"/>
      <c r="O117" s="42" t="n"/>
    </row>
    <row r="118" ht="15" customHeight="1" s="418">
      <c r="L118" s="450" t="n"/>
      <c r="M118" s="30" t="n"/>
      <c r="O118" s="42" t="n"/>
    </row>
    <row r="119" ht="15" customHeight="1" s="418">
      <c r="L119" s="450" t="n"/>
      <c r="M119" s="30" t="n"/>
      <c r="O119" s="42" t="n"/>
    </row>
    <row r="120" ht="15" customHeight="1" s="418">
      <c r="L120" s="450" t="n"/>
      <c r="M120" s="30" t="n"/>
      <c r="O120" s="42" t="n"/>
    </row>
    <row r="121" ht="15" customHeight="1" s="418">
      <c r="L121" s="450" t="n"/>
      <c r="M121" s="30" t="n"/>
      <c r="O121" s="42" t="n"/>
    </row>
    <row r="122" ht="15" customHeight="1" s="418">
      <c r="L122" s="450" t="n"/>
      <c r="M122" s="30" t="n"/>
      <c r="O122" s="42" t="n"/>
    </row>
    <row r="123" ht="15" customHeight="1" s="418">
      <c r="L123" s="450" t="n"/>
      <c r="M123" s="30" t="n"/>
      <c r="O123" s="42" t="n"/>
    </row>
    <row r="124" ht="15" customHeight="1" s="418">
      <c r="L124" s="450" t="n"/>
      <c r="M124" s="30" t="n"/>
      <c r="O124" s="42" t="n"/>
    </row>
    <row r="125" ht="15" customHeight="1" s="418">
      <c r="L125" s="450" t="n"/>
      <c r="M125" s="30" t="n"/>
      <c r="O125" s="42" t="n"/>
    </row>
    <row r="126" ht="15" customHeight="1" s="418">
      <c r="L126" s="450" t="n"/>
      <c r="M126" s="30" t="n"/>
      <c r="O126" s="42" t="n"/>
    </row>
    <row r="127" ht="15" customHeight="1" s="418">
      <c r="L127" s="450" t="n"/>
      <c r="M127" s="30" t="n"/>
      <c r="O127" s="42" t="n"/>
    </row>
    <row r="128" ht="15" customHeight="1" s="418">
      <c r="L128" s="450" t="n"/>
      <c r="M128" s="30" t="n"/>
      <c r="O128" s="42" t="n"/>
    </row>
    <row r="129" ht="15" customHeight="1" s="418">
      <c r="L129" s="450" t="n"/>
      <c r="M129" s="30" t="n"/>
      <c r="O129" s="42" t="n"/>
    </row>
    <row r="130" ht="15" customHeight="1" s="418">
      <c r="L130" s="450" t="n"/>
      <c r="M130" s="30" t="n"/>
      <c r="O130" s="42" t="n"/>
    </row>
    <row r="131" ht="15" customHeight="1" s="418">
      <c r="L131" s="450" t="n"/>
      <c r="M131" s="30" t="n"/>
      <c r="O131" s="42" t="n"/>
    </row>
    <row r="132" ht="15" customHeight="1" s="418">
      <c r="L132" s="450" t="n"/>
      <c r="M132" s="30" t="n"/>
      <c r="O132" s="42" t="n"/>
    </row>
    <row r="133" ht="15" customHeight="1" s="418">
      <c r="L133" s="450" t="n"/>
      <c r="M133" s="30" t="n"/>
      <c r="O133" s="42" t="n"/>
    </row>
    <row r="134" ht="15" customHeight="1" s="418">
      <c r="L134" s="450" t="n"/>
      <c r="M134" s="30" t="n"/>
      <c r="O134" s="42" t="n"/>
    </row>
    <row r="135" ht="15" customHeight="1" s="418">
      <c r="O135" s="42" t="n"/>
    </row>
    <row r="136" ht="15" customHeight="1" s="418">
      <c r="O136" s="42" t="n"/>
    </row>
    <row r="137" ht="15" customHeight="1" s="418">
      <c r="O137" s="42" t="n"/>
    </row>
    <row r="138" ht="15" customHeight="1" s="418">
      <c r="O138" s="42" t="n"/>
    </row>
    <row r="139" ht="15" customHeight="1" s="418">
      <c r="O139" s="42" t="n"/>
    </row>
    <row r="140" ht="15" customHeight="1" s="418">
      <c r="O140" s="42" t="n"/>
    </row>
    <row r="141" ht="15" customHeight="1" s="418">
      <c r="O141" s="42" t="n"/>
    </row>
    <row r="142" ht="15" customHeight="1" s="418">
      <c r="O142" s="42" t="n"/>
    </row>
    <row r="143" ht="15" customHeight="1" s="418">
      <c r="O143" s="42" t="n"/>
    </row>
    <row r="144" ht="15" customHeight="1" s="418">
      <c r="O144" s="42" t="n"/>
    </row>
    <row r="145" ht="15" customHeight="1" s="418">
      <c r="O145" s="42" t="n"/>
    </row>
    <row r="146" ht="15" customHeight="1" s="418">
      <c r="O146" s="42" t="n"/>
    </row>
    <row r="147" ht="15" customHeight="1" s="418">
      <c r="O147" s="42" t="n"/>
    </row>
    <row r="148" ht="15" customHeight="1" s="418">
      <c r="O148" s="42" t="n"/>
    </row>
    <row r="149" ht="15" customHeight="1" s="418"/>
    <row r="150" ht="15" customHeight="1" s="418"/>
    <row r="151" ht="15" customHeight="1" s="418"/>
    <row r="152" ht="15" customHeight="1" s="418">
      <c r="Q152" s="30" t="n">
        <v>0</v>
      </c>
      <c r="R152" s="30" t="n"/>
      <c r="S152" s="555" t="n">
        <v>2024040234</v>
      </c>
      <c r="T152" t="inlineStr">
        <is>
          <t>https://drive.google.com/file/d/1hVOUaNDJzV9Bxg7DP_2hgczSOdJkT-CE/view</t>
        </is>
      </c>
    </row>
    <row r="153" ht="15" customHeight="1" s="418">
      <c r="Q153" s="30" t="n">
        <v>0</v>
      </c>
      <c r="R153" s="30" t="n"/>
      <c r="S153" s="555" t="n">
        <v>2024040233</v>
      </c>
      <c r="T153" t="inlineStr">
        <is>
          <t>https://drive.google.com/file/d/1g6_e82za9104ZYTj1tJObToA4xrnxYRH/view</t>
        </is>
      </c>
    </row>
    <row r="154" ht="15" customHeight="1" s="418">
      <c r="Q154" s="30" t="n">
        <v>0</v>
      </c>
      <c r="R154" s="30" t="n"/>
      <c r="S154" s="555" t="n">
        <v>2024040235</v>
      </c>
      <c r="T154" t="inlineStr">
        <is>
          <t>https://drive.google.com/file/d/1njxe1k4KZjneol1wa_uPqQIulbIqec1D/view</t>
        </is>
      </c>
    </row>
    <row r="1048360" ht="12.8" customHeight="1" s="418"/>
    <row r="1048361" ht="12.8" customHeight="1" s="418"/>
    <row r="1048362" ht="12.8" customHeight="1" s="418"/>
    <row r="1048363" ht="12.8" customHeight="1" s="418"/>
    <row r="1048364" ht="12.8" customHeight="1" s="418"/>
    <row r="1048365" ht="12.8" customHeight="1" s="418"/>
    <row r="1048366" ht="12.8" customHeight="1" s="418"/>
    <row r="1048367" ht="12.8" customHeight="1" s="418"/>
    <row r="1048368" ht="12.8" customHeight="1" s="418"/>
    <row r="1048369" ht="12.8" customHeight="1" s="418"/>
    <row r="1048370" ht="12.8" customHeight="1" s="418"/>
    <row r="1048371" ht="12.8" customHeight="1" s="418"/>
    <row r="1048372" ht="12.8" customHeight="1" s="418"/>
    <row r="1048373" ht="12.8" customHeight="1" s="418"/>
    <row r="1048374" ht="12.8" customHeight="1" s="418"/>
    <row r="1048375" ht="12.8" customHeight="1" s="418"/>
    <row r="1048376" ht="12.8" customHeight="1" s="418"/>
    <row r="1048377" ht="12.8" customHeight="1" s="418"/>
    <row r="1048378" ht="12.8" customHeight="1" s="418"/>
    <row r="1048379" ht="12.8" customHeight="1" s="418"/>
    <row r="1048380" ht="12.8" customHeight="1" s="418"/>
    <row r="1048381" ht="12.8" customHeight="1" s="418"/>
    <row r="1048382" ht="12.8" customHeight="1" s="418"/>
    <row r="1048383" ht="12.8" customHeight="1" s="418"/>
    <row r="1048384" ht="12.8" customHeight="1" s="418"/>
    <row r="1048385" ht="12.8" customHeight="1" s="418"/>
    <row r="1048386" ht="12.8" customHeight="1" s="418"/>
    <row r="1048387" ht="12.8" customHeight="1" s="418"/>
    <row r="1048388" ht="12.8" customHeight="1" s="418"/>
    <row r="1048389" ht="12.8" customHeight="1" s="418"/>
    <row r="1048390" ht="12.8" customHeight="1" s="418"/>
    <row r="1048391" ht="12.8" customHeight="1" s="418"/>
    <row r="1048392" ht="12.8" customHeight="1" s="418"/>
    <row r="1048393" ht="12.8" customHeight="1" s="418"/>
    <row r="1048394" ht="12.8" customHeight="1" s="418"/>
    <row r="1048395" ht="12.8" customHeight="1" s="418"/>
    <row r="1048396" ht="12.8" customHeight="1" s="418"/>
    <row r="1048397" ht="12.8" customHeight="1" s="418"/>
    <row r="1048398" ht="12.8" customHeight="1" s="418"/>
    <row r="1048399" ht="12.8" customHeight="1" s="418"/>
    <row r="1048400" ht="12.8" customHeight="1" s="418"/>
    <row r="1048401" ht="12.8" customHeight="1" s="418"/>
    <row r="1048402" ht="12.8" customHeight="1" s="418"/>
    <row r="1048403" ht="12.8" customHeight="1" s="418"/>
    <row r="1048404" ht="12.8" customHeight="1" s="418"/>
    <row r="1048405" ht="12.8" customHeight="1" s="418"/>
    <row r="1048406" ht="12.8" customHeight="1" s="418"/>
    <row r="1048407" ht="12.8" customHeight="1" s="418"/>
    <row r="1048408" ht="12.8" customHeight="1" s="418"/>
    <row r="1048409" ht="12.8" customHeight="1" s="418"/>
    <row r="1048410" ht="12.8" customHeight="1" s="418"/>
    <row r="1048411" ht="12.8" customHeight="1" s="418"/>
    <row r="1048412" ht="12.8" customHeight="1" s="418"/>
    <row r="1048413" ht="12.8" customHeight="1" s="418"/>
    <row r="1048414" ht="12.8" customHeight="1" s="418"/>
    <row r="1048415" ht="12.8" customHeight="1" s="418"/>
    <row r="1048416" ht="12.8" customHeight="1" s="418"/>
    <row r="1048417" ht="12.8" customHeight="1" s="418"/>
    <row r="1048418" ht="12.8" customHeight="1" s="418"/>
    <row r="1048419" ht="12.8" customHeight="1" s="418"/>
    <row r="1048420" ht="12.8" customHeight="1" s="418"/>
    <row r="1048421" ht="12.8" customHeight="1" s="418"/>
    <row r="1048422" ht="12.8" customHeight="1" s="418"/>
    <row r="1048423" ht="12.8" customHeight="1" s="418"/>
    <row r="1048424" ht="12.8" customHeight="1" s="418"/>
    <row r="1048425" ht="12.8" customHeight="1" s="418"/>
    <row r="1048426" ht="12.8" customHeight="1" s="418"/>
    <row r="1048427" ht="12.8" customHeight="1" s="418"/>
    <row r="1048428" ht="12.8" customHeight="1" s="418"/>
    <row r="1048429" ht="12.8" customHeight="1" s="418"/>
    <row r="1048430" ht="12.8" customHeight="1" s="418"/>
    <row r="1048431" ht="12.8" customHeight="1" s="418"/>
    <row r="1048432" ht="12.8" customHeight="1" s="418"/>
    <row r="1048433" ht="12.8" customHeight="1" s="418"/>
    <row r="1048434" ht="12.8" customHeight="1" s="418"/>
    <row r="1048435" ht="12.8" customHeight="1" s="418"/>
    <row r="1048436" ht="12.8" customHeight="1" s="418"/>
    <row r="1048437" ht="12.8" customHeight="1" s="418"/>
    <row r="1048438" ht="12.8" customHeight="1" s="418"/>
    <row r="1048439" ht="12.8" customHeight="1" s="418"/>
    <row r="1048440" ht="12.8" customHeight="1" s="418"/>
    <row r="1048441" ht="12.8" customHeight="1" s="418"/>
    <row r="1048442" ht="12.8" customHeight="1" s="418"/>
    <row r="1048443" ht="12.8" customHeight="1" s="418"/>
    <row r="1048444" ht="12.8" customHeight="1" s="418"/>
    <row r="1048445" ht="12.8" customHeight="1" s="418"/>
    <row r="1048446" ht="12.8" customHeight="1" s="418"/>
    <row r="1048447" ht="12.8" customHeight="1" s="418"/>
    <row r="1048448" ht="12.8" customHeight="1" s="418"/>
    <row r="1048449" ht="12.8" customHeight="1" s="418"/>
    <row r="1048450" ht="12.8" customHeight="1" s="418"/>
    <row r="1048451" ht="12.8" customHeight="1" s="418"/>
    <row r="1048452" ht="12.8" customHeight="1" s="418"/>
    <row r="1048453" ht="12.8" customHeight="1" s="418"/>
    <row r="1048454" ht="12.8" customHeight="1" s="418"/>
    <row r="1048455" ht="12.8" customHeight="1" s="418"/>
    <row r="1048456" ht="12.8" customHeight="1" s="418"/>
    <row r="1048457" ht="12.8" customHeight="1" s="418"/>
    <row r="1048458" ht="12.8" customHeight="1" s="418"/>
    <row r="1048459" ht="12.8" customHeight="1" s="418"/>
    <row r="1048460" ht="12.8" customHeight="1" s="418"/>
    <row r="1048461" ht="12.8" customHeight="1" s="418"/>
    <row r="1048462" ht="12.8" customHeight="1" s="418"/>
    <row r="1048463" ht="12.8" customHeight="1" s="418"/>
    <row r="1048464" ht="12.8" customHeight="1" s="418"/>
    <row r="1048465" ht="12.8" customHeight="1" s="418"/>
    <row r="1048466" ht="12.8" customHeight="1" s="418"/>
    <row r="1048467" ht="12.8" customHeight="1" s="418"/>
    <row r="1048468" ht="12.8" customHeight="1" s="418"/>
    <row r="1048469" ht="12.8" customHeight="1" s="418"/>
    <row r="1048470" ht="12.8" customHeight="1" s="418"/>
    <row r="1048471" ht="12.8" customHeight="1" s="418"/>
    <row r="1048472" ht="12.8" customHeight="1" s="418"/>
    <row r="1048473" ht="12.8" customHeight="1" s="418"/>
    <row r="1048474" ht="12.8" customHeight="1" s="418"/>
    <row r="1048475" ht="12.8" customHeight="1" s="418"/>
    <row r="1048476" ht="12.8" customHeight="1" s="418"/>
    <row r="1048477" ht="12.8" customHeight="1" s="418"/>
    <row r="1048478" ht="12.8" customHeight="1" s="418"/>
    <row r="1048479" ht="12.8" customHeight="1" s="418"/>
    <row r="1048480" ht="12.8" customHeight="1" s="418"/>
    <row r="1048481" ht="12.8" customHeight="1" s="418"/>
    <row r="1048482" ht="12.8" customHeight="1" s="418"/>
    <row r="1048483" ht="12.8" customHeight="1" s="418"/>
    <row r="1048484" ht="12.8" customHeight="1" s="418"/>
    <row r="1048485" ht="12.8" customHeight="1" s="418"/>
    <row r="1048486" ht="12.8" customHeight="1" s="418"/>
    <row r="1048487" ht="12.8" customHeight="1" s="418"/>
    <row r="1048488" ht="12.8" customHeight="1" s="418"/>
    <row r="1048489" ht="12.8" customHeight="1" s="418"/>
    <row r="1048490" ht="12.8" customHeight="1" s="418"/>
    <row r="1048491" ht="12.8" customHeight="1" s="418"/>
    <row r="1048492" ht="12.8" customHeight="1" s="418"/>
    <row r="1048493" ht="12.8" customHeight="1" s="418"/>
    <row r="1048494" ht="12.8" customHeight="1" s="418"/>
    <row r="1048495" ht="12.8" customHeight="1" s="418"/>
    <row r="1048496" ht="12.8" customHeight="1" s="418"/>
    <row r="1048497" ht="12.8" customHeight="1" s="418"/>
    <row r="1048498" ht="12.8" customHeight="1" s="418"/>
    <row r="1048499" ht="12.8" customHeight="1" s="418"/>
    <row r="1048500" ht="12.8" customHeight="1" s="418"/>
    <row r="1048501" ht="12.8" customHeight="1" s="418"/>
    <row r="1048502" ht="12.8" customHeight="1" s="418"/>
    <row r="1048503" ht="12.8" customHeight="1" s="418"/>
    <row r="1048504" ht="12.8" customHeight="1" s="418"/>
    <row r="1048505" ht="12.8" customHeight="1" s="418"/>
    <row r="1048506" ht="12.8" customHeight="1" s="418"/>
    <row r="1048507" ht="12.8" customHeight="1" s="418"/>
    <row r="1048508" ht="12.8" customHeight="1" s="418"/>
    <row r="1048509" ht="12.8" customHeight="1" s="418"/>
    <row r="1048510" ht="12.8" customHeight="1" s="418"/>
    <row r="1048511" ht="12.8" customHeight="1" s="418"/>
    <row r="1048512" ht="12.8" customHeight="1" s="418"/>
    <row r="1048513" ht="12.8" customHeight="1" s="418"/>
    <row r="1048514" ht="12.8" customHeight="1" s="418"/>
    <row r="1048515" ht="12.8" customHeight="1" s="418"/>
    <row r="1048516" ht="12.8" customHeight="1" s="418"/>
    <row r="1048517" ht="12.8" customHeight="1" s="418"/>
    <row r="1048518" ht="12.8" customHeight="1" s="418"/>
    <row r="1048519" ht="12.8" customHeight="1" s="418"/>
    <row r="1048520" ht="12.8" customHeight="1" s="418"/>
    <row r="1048521" ht="12.8" customHeight="1" s="418"/>
    <row r="1048522" ht="12.8" customHeight="1" s="418"/>
    <row r="1048523" ht="12.8" customHeight="1" s="418"/>
    <row r="1048524" ht="12.8" customHeight="1" s="418"/>
    <row r="1048525" ht="12.8" customHeight="1" s="418"/>
    <row r="1048526" ht="12.8" customHeight="1" s="418"/>
    <row r="1048527" ht="12.8" customHeight="1" s="418"/>
    <row r="1048528" ht="12.8" customHeight="1" s="418"/>
    <row r="1048529" ht="12.8" customHeight="1" s="418"/>
    <row r="1048530" ht="12.8" customHeight="1" s="418"/>
    <row r="1048531" ht="12.8" customHeight="1" s="418"/>
    <row r="1048532" ht="12.8" customHeight="1" s="418"/>
    <row r="1048533" ht="12.8" customHeight="1" s="418"/>
    <row r="1048534" ht="12.8" customHeight="1" s="418"/>
    <row r="1048535" ht="12.8" customHeight="1" s="418"/>
    <row r="1048536" ht="12.8" customHeight="1" s="418"/>
    <row r="1048537" ht="12.8" customHeight="1" s="418"/>
    <row r="1048538" ht="12.8" customHeight="1" s="418"/>
    <row r="1048539" ht="12.8" customHeight="1" s="418"/>
    <row r="1048540" ht="12.8" customHeight="1" s="418"/>
    <row r="1048541" ht="12.8" customHeight="1" s="418"/>
    <row r="1048542" ht="12.8" customHeight="1" s="418"/>
    <row r="1048543" ht="12.8" customHeight="1" s="418"/>
    <row r="1048544" ht="12.8" customHeight="1" s="418"/>
    <row r="1048545" ht="12.8" customHeight="1" s="418"/>
    <row r="1048546" ht="12.8" customHeight="1" s="418"/>
    <row r="1048547" ht="12.8" customHeight="1" s="418"/>
    <row r="1048548" ht="12.8" customHeight="1" s="418"/>
    <row r="1048549" ht="12.8" customHeight="1" s="418"/>
    <row r="1048550" ht="12.8" customHeight="1" s="418"/>
    <row r="1048551" ht="12.8" customHeight="1" s="418"/>
    <row r="1048552" ht="12.8" customHeight="1" s="418"/>
    <row r="1048553" ht="12.8" customHeight="1" s="418"/>
    <row r="1048554" ht="12.8" customHeight="1" s="418"/>
    <row r="1048555" ht="12.8" customHeight="1" s="418"/>
    <row r="1048556" ht="12.8" customHeight="1" s="418"/>
    <row r="1048557" ht="12.8" customHeight="1" s="418"/>
    <row r="1048558" ht="12.8" customHeight="1" s="418"/>
    <row r="1048559" ht="12.8" customHeight="1" s="418"/>
    <row r="1048560" ht="12.8" customHeight="1" s="418"/>
    <row r="1048561" ht="12.8" customHeight="1" s="418"/>
    <row r="1048562" ht="12.8" customHeight="1" s="418"/>
    <row r="1048563" ht="12.8" customHeight="1" s="418"/>
    <row r="1048564" ht="12.8" customHeight="1" s="418"/>
    <row r="1048565" ht="12.8" customHeight="1" s="418"/>
    <row r="1048566" ht="12.8" customHeight="1" s="418"/>
    <row r="1048567" ht="12.8" customHeight="1" s="418"/>
    <row r="1048568" ht="12.8" customHeight="1" s="418"/>
    <row r="1048569" ht="12.8" customHeight="1" s="418"/>
    <row r="1048570" ht="12.8" customHeight="1" s="418"/>
    <row r="1048571" ht="12.8" customHeight="1" s="418"/>
    <row r="1048572" ht="12.8" customHeight="1" s="418"/>
    <row r="1048573" ht="12.8" customHeight="1" s="418"/>
    <row r="1048574" ht="12.8" customHeight="1" s="418"/>
    <row r="1048575" ht="12.8" customHeight="1" s="418"/>
    <row r="1048576" ht="12.8" customHeight="1" s="418"/>
  </sheetData>
  <autoFilter ref="A82:T85"/>
  <mergeCells count="12">
    <mergeCell ref="A9:N9"/>
    <mergeCell ref="A27:N27"/>
    <mergeCell ref="A79:N79"/>
    <mergeCell ref="A91:N91"/>
    <mergeCell ref="A39:N39"/>
    <mergeCell ref="A21:N21"/>
    <mergeCell ref="A15:N15"/>
    <mergeCell ref="A59:N59"/>
    <mergeCell ref="A33:N33"/>
    <mergeCell ref="A85:N85"/>
    <mergeCell ref="A45:N45"/>
    <mergeCell ref="A97:N97"/>
  </mergeCells>
  <hyperlinks>
    <hyperlink xmlns:r="http://schemas.openxmlformats.org/officeDocument/2006/relationships" ref="T152" display="https://drive.google.com/file/d/1hVOUaNDJzV9Bxg7DP_2hgczSOdJkT-CE/view" r:id="rId1"/>
    <hyperlink xmlns:r="http://schemas.openxmlformats.org/officeDocument/2006/relationships" ref="T153" display="https://drive.google.com/file/d/1g6_e82za9104ZYTj1tJObToA4xrnxYRH/view" r:id="rId2"/>
    <hyperlink xmlns:r="http://schemas.openxmlformats.org/officeDocument/2006/relationships" ref="T154" display="https://drive.google.com/file/d/1njxe1k4KZjneol1wa_uPqQIulbIqec1D/view" r:id="rId3"/>
  </hyperlinks>
  <printOptions horizontalCentered="0" verticalCentered="0" headings="0" gridLines="0" gridLinesSet="1"/>
  <pageMargins left="0.315277777777778" right="0.315277777777778" top="0.551388888888889" bottom="0.354166666666667" header="0.511811023622047" footer="0.511811023622047"/>
  <pageSetup orientation="landscape" paperSize="9" scale="7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AZ324"/>
  <sheetViews>
    <sheetView showFormulas="0" showGridLines="0" showRowColHeaders="1" showZeros="1" rightToLeft="0" tabSelected="0" showOutlineSymbols="1" defaultGridColor="1" view="normal" topLeftCell="A1" colorId="64" zoomScale="86" zoomScaleNormal="86" zoomScalePageLayoutView="100" workbookViewId="0">
      <selection pane="topLeft" activeCell="D157" activeCellId="0" sqref="D157"/>
    </sheetView>
  </sheetViews>
  <sheetFormatPr baseColWidth="8" defaultColWidth="11.4453125" defaultRowHeight="13.5" customHeight="0" zeroHeight="0" outlineLevelRow="0"/>
  <cols>
    <col width="44.11" customWidth="1" style="557" min="1" max="1"/>
    <col width="4.56" customWidth="1" style="557" min="2" max="2"/>
    <col width="16.44" customWidth="1" style="558" min="3" max="3"/>
    <col width="12" customWidth="1" style="557" min="4" max="4"/>
    <col width="10.44" customWidth="1" style="557" min="5" max="5"/>
    <col width="10.44" customWidth="1" style="558" min="6" max="6"/>
    <col width="9.44" customWidth="1" style="557" min="7" max="7"/>
    <col width="9.33" customWidth="1" style="557" min="8" max="8"/>
    <col width="8.67" customWidth="1" style="557" min="9" max="9"/>
    <col width="9" customWidth="1" style="557" min="10" max="10"/>
    <col width="6.56" customWidth="1" style="557" min="11" max="13"/>
    <col width="10.33" customWidth="1" style="557" min="14" max="14"/>
    <col hidden="1" width="9.67" customWidth="1" style="557" min="15" max="15"/>
    <col width="43" customWidth="1" style="557" min="16" max="16"/>
    <col width="14" customWidth="1" style="558" min="17" max="17"/>
    <col width="12" customWidth="1" style="558" min="18" max="18"/>
    <col width="15.33" customWidth="1" style="558" min="19" max="19"/>
    <col width="11.44" customWidth="1" style="557" min="20" max="16384"/>
  </cols>
  <sheetData>
    <row r="2" ht="13.5" customFormat="1" customHeight="1" s="447">
      <c r="A2" s="491" t="inlineStr">
        <is>
          <t>PROVEEDOR</t>
        </is>
      </c>
      <c r="B2" s="506" t="inlineStr">
        <is>
          <t>TIPO</t>
        </is>
      </c>
      <c r="C2" s="498" t="inlineStr">
        <is>
          <t>N° DOCUMENTO</t>
        </is>
      </c>
      <c r="D2" s="462" t="inlineStr">
        <is>
          <t>FEC. REGISTRO</t>
        </is>
      </c>
      <c r="E2" s="462" t="inlineStr">
        <is>
          <t>FEC.DOC</t>
        </is>
      </c>
      <c r="F2" s="462" t="inlineStr">
        <is>
          <t>FEC.VCTO</t>
        </is>
      </c>
      <c r="G2" s="176" t="inlineStr">
        <is>
          <t>IMPORTE</t>
        </is>
      </c>
      <c r="H2" s="176" t="inlineStr">
        <is>
          <t>PAGADO</t>
        </is>
      </c>
      <c r="I2" s="176" t="inlineStr">
        <is>
          <t>SALDO</t>
        </is>
      </c>
      <c r="J2" s="177" t="inlineStr">
        <is>
          <t>% DET</t>
        </is>
      </c>
      <c r="K2" s="559" t="inlineStr">
        <is>
          <t>DET</t>
        </is>
      </c>
      <c r="L2" s="176" t="inlineStr">
        <is>
          <t>% RET</t>
        </is>
      </c>
      <c r="M2" s="176" t="inlineStr">
        <is>
          <t>RET</t>
        </is>
      </c>
      <c r="N2" s="176" t="inlineStr">
        <is>
          <t>Neto</t>
        </is>
      </c>
      <c r="O2" s="498" t="inlineStr">
        <is>
          <t>PRODUCTO</t>
        </is>
      </c>
      <c r="P2" s="469" t="inlineStr">
        <is>
          <t>AGENTE ADUANERO</t>
        </is>
      </c>
      <c r="Q2" s="469" t="inlineStr">
        <is>
          <t>N° O/C-O/S</t>
        </is>
      </c>
      <c r="R2" s="469" t="n"/>
      <c r="S2" s="560" t="inlineStr">
        <is>
          <t>LINK FACTURA</t>
        </is>
      </c>
      <c r="U2" s="452" t="n"/>
      <c r="V2" s="452" t="n"/>
      <c r="W2" s="452" t="n"/>
      <c r="X2" s="452" t="n"/>
      <c r="Y2" s="452" t="n"/>
      <c r="Z2" s="452" t="n"/>
      <c r="AA2" s="452" t="n"/>
      <c r="AB2" s="452" t="n"/>
      <c r="AC2" s="452" t="n"/>
      <c r="AD2" s="452" t="n"/>
      <c r="AE2" s="452" t="n"/>
      <c r="AF2" s="452" t="n"/>
      <c r="AG2" s="452" t="n"/>
      <c r="AH2" s="452" t="n"/>
      <c r="AI2" s="452" t="n"/>
      <c r="AJ2" s="452" t="n"/>
      <c r="AK2" s="452" t="n"/>
      <c r="AL2" s="452" t="n"/>
      <c r="AM2" s="452" t="n"/>
      <c r="AN2" s="452" t="n"/>
      <c r="AO2" s="452" t="n"/>
      <c r="AP2" s="452" t="n"/>
      <c r="AQ2" s="452" t="n"/>
      <c r="AR2" s="452" t="n"/>
      <c r="AS2" s="448" t="n"/>
      <c r="AT2" s="448" t="n"/>
      <c r="AU2" s="448" t="n"/>
      <c r="AV2" s="448" t="n"/>
      <c r="AW2" s="448" t="n"/>
      <c r="AX2" s="448" t="n"/>
      <c r="AY2" s="448" t="n"/>
    </row>
    <row r="3" ht="13.5" customFormat="1" customHeight="1" s="453">
      <c r="A3" s="543" t="n"/>
      <c r="B3" s="543" t="n"/>
      <c r="C3" s="543" t="n"/>
      <c r="D3" s="556" t="n"/>
      <c r="E3" s="556" t="n"/>
      <c r="F3" s="556" t="n"/>
      <c r="G3" s="544" t="n"/>
      <c r="H3" s="544" t="n"/>
      <c r="I3" s="544" t="n"/>
      <c r="J3" s="561" t="n"/>
      <c r="K3" s="562" t="n"/>
      <c r="L3" s="563" t="n"/>
      <c r="M3" s="564" t="n"/>
      <c r="N3" s="184">
        <f>I3-K3-M3</f>
        <v/>
      </c>
      <c r="O3" s="565" t="n"/>
      <c r="P3" s="566" t="n"/>
      <c r="Q3" s="480" t="n"/>
      <c r="R3" s="567" t="n"/>
      <c r="S3" s="568" t="n"/>
      <c r="U3" s="452" t="n"/>
      <c r="V3" s="452" t="n"/>
      <c r="W3" s="452" t="n"/>
      <c r="X3" s="452" t="n"/>
      <c r="Y3" s="452" t="n"/>
      <c r="Z3" s="452" t="n"/>
      <c r="AA3" s="452" t="n"/>
      <c r="AB3" s="452" t="n"/>
      <c r="AC3" s="452" t="n"/>
      <c r="AD3" s="452" t="n"/>
      <c r="AE3" s="452" t="n"/>
      <c r="AF3" s="452" t="n"/>
      <c r="AG3" s="452" t="n"/>
      <c r="AH3" s="452" t="n"/>
      <c r="AI3" s="452" t="n"/>
      <c r="AJ3" s="452" t="n"/>
      <c r="AK3" s="452" t="n"/>
      <c r="AL3" s="452" t="n"/>
      <c r="AM3" s="452" t="n"/>
      <c r="AN3" s="452" t="n"/>
      <c r="AO3" s="452" t="n"/>
      <c r="AP3" s="452" t="n"/>
      <c r="AQ3" s="452" t="n"/>
      <c r="AR3" s="452" t="n"/>
      <c r="AS3" s="452" t="n"/>
      <c r="AT3" s="452" t="n"/>
      <c r="AU3" s="452" t="n"/>
      <c r="AV3" s="452" t="n"/>
      <c r="AW3" s="452" t="n"/>
      <c r="AX3" s="452" t="n"/>
      <c r="AY3" s="452" t="n"/>
    </row>
    <row r="4" ht="15" customFormat="1" customHeight="1" s="453">
      <c r="A4" s="569" t="n"/>
      <c r="B4" s="543" t="n"/>
      <c r="C4" s="543" t="n"/>
      <c r="D4" s="556" t="n"/>
      <c r="E4" s="556" t="n"/>
      <c r="F4" s="556" t="n"/>
      <c r="G4" s="544" t="n"/>
      <c r="H4" s="544" t="n"/>
      <c r="I4" s="544" t="n"/>
      <c r="J4" s="570" t="n"/>
      <c r="K4" s="562" t="n"/>
      <c r="L4" s="562" t="n"/>
      <c r="M4" s="571" t="n"/>
      <c r="N4" s="184">
        <f>I4-K4-M4</f>
        <v/>
      </c>
      <c r="O4" s="572" t="n"/>
      <c r="P4" s="543" t="n"/>
      <c r="Q4" s="573" t="n"/>
      <c r="R4" s="574" t="n"/>
      <c r="S4" s="575" t="n"/>
      <c r="T4" s="195" t="n"/>
      <c r="U4" s="452" t="n"/>
      <c r="V4" s="452" t="n"/>
      <c r="W4" s="452" t="n"/>
      <c r="X4" s="452" t="n"/>
      <c r="Y4" s="452" t="n"/>
      <c r="Z4" s="452" t="n"/>
      <c r="AA4" s="452" t="n"/>
      <c r="AB4" s="452" t="n"/>
      <c r="AC4" s="452" t="n"/>
      <c r="AD4" s="452" t="n"/>
      <c r="AE4" s="452" t="n"/>
      <c r="AF4" s="452" t="n"/>
      <c r="AG4" s="452" t="n"/>
      <c r="AH4" s="452" t="n"/>
      <c r="AI4" s="452" t="n"/>
      <c r="AJ4" s="452" t="n"/>
      <c r="AK4" s="452" t="n"/>
      <c r="AL4" s="452" t="n"/>
      <c r="AM4" s="452" t="n"/>
      <c r="AN4" s="452" t="n"/>
      <c r="AO4" s="452" t="n"/>
      <c r="AP4" s="452" t="n"/>
      <c r="AQ4" s="452" t="n"/>
      <c r="AR4" s="452" t="n"/>
      <c r="AS4" s="452" t="n"/>
      <c r="AT4" s="452" t="n"/>
      <c r="AU4" s="452" t="n"/>
      <c r="AV4" s="452" t="n"/>
      <c r="AW4" s="452" t="n"/>
      <c r="AX4" s="452" t="n"/>
      <c r="AY4" s="452" t="n"/>
    </row>
    <row r="5" ht="13.5" customFormat="1" customHeight="1" s="453">
      <c r="A5" s="576" t="n"/>
      <c r="B5" s="577" t="n"/>
      <c r="C5" s="577" t="n"/>
      <c r="D5" s="578" t="n"/>
      <c r="E5" s="578" t="n"/>
      <c r="F5" s="578" t="n"/>
      <c r="G5" s="579" t="n"/>
      <c r="H5" s="579" t="n"/>
      <c r="I5" s="579" t="n"/>
      <c r="J5" s="580" t="n"/>
      <c r="K5" s="581" t="n"/>
      <c r="L5" s="581" t="n"/>
      <c r="M5" s="582" t="n"/>
      <c r="N5" s="184">
        <f>I5-K5-M5</f>
        <v/>
      </c>
      <c r="O5" s="583" t="n"/>
      <c r="P5" s="577" t="n"/>
      <c r="Q5" s="584" t="n"/>
      <c r="R5" s="585" t="n"/>
      <c r="S5" s="586" t="n"/>
      <c r="T5" s="195" t="n"/>
      <c r="U5" s="452" t="n"/>
      <c r="V5" s="452" t="n"/>
      <c r="W5" s="452" t="n"/>
      <c r="X5" s="452" t="n"/>
      <c r="Y5" s="452" t="n"/>
      <c r="Z5" s="452" t="n"/>
      <c r="AA5" s="452" t="n"/>
      <c r="AB5" s="452" t="n"/>
      <c r="AC5" s="452" t="n"/>
      <c r="AD5" s="452" t="n"/>
      <c r="AE5" s="452" t="n"/>
      <c r="AF5" s="452" t="n"/>
      <c r="AG5" s="452" t="n"/>
      <c r="AH5" s="452" t="n"/>
      <c r="AI5" s="452" t="n"/>
      <c r="AJ5" s="452" t="n"/>
      <c r="AK5" s="452" t="n"/>
      <c r="AL5" s="452" t="n"/>
      <c r="AM5" s="452" t="n"/>
      <c r="AN5" s="452" t="n"/>
      <c r="AO5" s="452" t="n"/>
      <c r="AP5" s="452" t="n"/>
      <c r="AQ5" s="452" t="n"/>
      <c r="AR5" s="452" t="n"/>
      <c r="AS5" s="452" t="n"/>
      <c r="AT5" s="452" t="n"/>
      <c r="AU5" s="452" t="n"/>
      <c r="AV5" s="452" t="n"/>
      <c r="AW5" s="452" t="n"/>
      <c r="AX5" s="452" t="n"/>
      <c r="AY5" s="452" t="n"/>
    </row>
    <row r="6" ht="13.5" customHeight="1" s="418">
      <c r="A6" s="587" t="n"/>
      <c r="B6" s="486" t="n"/>
      <c r="C6" s="486" t="n"/>
      <c r="D6" s="486" t="n"/>
      <c r="E6" s="486" t="n"/>
      <c r="F6" s="486" t="n"/>
      <c r="G6" s="486" t="n"/>
      <c r="H6" s="486" t="n"/>
      <c r="I6" s="486" t="n"/>
      <c r="J6" s="486" t="n"/>
      <c r="K6" s="486" t="n"/>
      <c r="L6" s="486" t="n"/>
      <c r="M6" s="487" t="n"/>
      <c r="N6" s="208">
        <f>SUM(N3:N5)</f>
        <v/>
      </c>
      <c r="O6" s="208" t="n"/>
      <c r="P6" s="588" t="n"/>
      <c r="Q6" s="589" t="n"/>
      <c r="R6" s="589" t="n"/>
      <c r="S6" s="589" t="n"/>
      <c r="T6" s="558" t="n"/>
      <c r="U6" s="211" t="n"/>
      <c r="V6" s="558" t="n"/>
      <c r="W6" s="558" t="n"/>
      <c r="X6" s="558" t="n"/>
      <c r="Y6" s="558" t="n"/>
      <c r="Z6" s="558" t="n"/>
      <c r="AA6" s="558" t="n"/>
      <c r="AB6" s="558" t="n"/>
      <c r="AC6" s="558" t="n"/>
      <c r="AD6" s="558" t="n"/>
      <c r="AE6" s="558" t="n"/>
      <c r="AF6" s="558" t="n"/>
      <c r="AG6" s="558" t="n"/>
      <c r="AH6" s="558" t="n"/>
      <c r="AI6" s="558" t="n"/>
      <c r="AJ6" s="558" t="n"/>
      <c r="AK6" s="558" t="n"/>
      <c r="AL6" s="558" t="n"/>
      <c r="AM6" s="558" t="n"/>
      <c r="AN6" s="558" t="n"/>
      <c r="AO6" s="558" t="n"/>
      <c r="AP6" s="558" t="n"/>
      <c r="AQ6" s="558" t="n"/>
      <c r="AR6" s="558" t="n"/>
      <c r="AS6" s="558" t="n"/>
      <c r="AT6" s="558" t="n"/>
      <c r="AU6" s="558" t="n"/>
      <c r="AV6" s="558" t="n"/>
      <c r="AW6" s="558" t="n"/>
      <c r="AX6" s="558" t="n"/>
      <c r="AY6" s="558" t="n"/>
      <c r="AZ6" s="558" t="n"/>
    </row>
    <row r="7" ht="13.5" customHeight="1" s="418">
      <c r="A7" s="569" t="n"/>
      <c r="B7" s="543" t="n"/>
      <c r="C7" s="543" t="n"/>
      <c r="D7" s="556" t="n"/>
      <c r="E7" s="556" t="n"/>
      <c r="F7" s="556" t="n"/>
      <c r="G7" s="544" t="n"/>
      <c r="H7" s="544" t="n"/>
      <c r="I7" s="544" t="n"/>
      <c r="J7" s="561" t="n"/>
      <c r="K7" s="562" t="n"/>
      <c r="L7" s="590" t="n"/>
      <c r="M7" s="591" t="n"/>
      <c r="N7" s="184">
        <f>I7-K7-M7</f>
        <v/>
      </c>
      <c r="O7" s="565" t="n"/>
      <c r="P7" s="592" t="n"/>
      <c r="Q7" s="593" t="n"/>
      <c r="R7" s="594" t="n"/>
      <c r="S7" s="595" t="n"/>
      <c r="T7" s="453" t="n"/>
      <c r="U7" s="452" t="n"/>
      <c r="V7" s="452" t="n"/>
      <c r="W7" s="452" t="n"/>
      <c r="X7" s="452" t="n"/>
      <c r="Y7" s="452" t="n"/>
      <c r="Z7" s="452" t="n"/>
      <c r="AA7" s="452" t="n"/>
      <c r="AB7" s="452" t="n"/>
      <c r="AC7" s="452" t="n"/>
      <c r="AD7" s="452" t="n"/>
      <c r="AE7" s="452" t="n"/>
      <c r="AF7" s="452" t="n"/>
      <c r="AG7" s="452" t="n"/>
      <c r="AH7" s="452" t="n"/>
      <c r="AI7" s="452" t="n"/>
      <c r="AJ7" s="452" t="n"/>
      <c r="AK7" s="452" t="n"/>
      <c r="AL7" s="452" t="n"/>
      <c r="AM7" s="452" t="n"/>
      <c r="AN7" s="452" t="n"/>
      <c r="AO7" s="452" t="n"/>
      <c r="AP7" s="452" t="n"/>
      <c r="AQ7" s="452" t="n"/>
      <c r="AR7" s="452" t="n"/>
      <c r="AS7" s="452" t="n"/>
      <c r="AT7" s="452" t="n"/>
      <c r="AU7" s="452" t="n"/>
      <c r="AV7" s="452" t="n"/>
      <c r="AW7" s="452" t="n"/>
      <c r="AX7" s="452" t="n"/>
      <c r="AY7" s="452" t="n"/>
      <c r="AZ7" s="453" t="n"/>
    </row>
    <row r="8" ht="15" customHeight="1" s="418">
      <c r="A8" s="569" t="n"/>
      <c r="B8" s="543" t="n"/>
      <c r="C8" s="543" t="n"/>
      <c r="D8" s="556" t="n"/>
      <c r="E8" s="556" t="n"/>
      <c r="F8" s="556" t="n"/>
      <c r="G8" s="544" t="n"/>
      <c r="H8" s="544" t="n"/>
      <c r="I8" s="544" t="n"/>
      <c r="J8" s="570" t="n"/>
      <c r="K8" s="562" t="n"/>
      <c r="L8" s="562" t="n"/>
      <c r="M8" s="571" t="n"/>
      <c r="N8" s="184">
        <f>I8-K8-M8</f>
        <v/>
      </c>
      <c r="O8" s="572" t="n"/>
      <c r="P8" s="543" t="n"/>
      <c r="Q8" s="573" t="n"/>
      <c r="R8" s="574" t="n"/>
      <c r="S8" s="575" t="n"/>
      <c r="T8" s="195" t="n"/>
      <c r="U8" s="452" t="n"/>
      <c r="V8" s="452" t="n"/>
      <c r="W8" s="452" t="n"/>
      <c r="X8" s="452" t="n"/>
      <c r="Y8" s="452" t="n"/>
      <c r="Z8" s="452" t="n"/>
      <c r="AA8" s="452" t="n"/>
      <c r="AB8" s="452" t="n"/>
      <c r="AC8" s="452" t="n"/>
      <c r="AD8" s="452" t="n"/>
      <c r="AE8" s="452" t="n"/>
      <c r="AF8" s="452" t="n"/>
      <c r="AG8" s="452" t="n"/>
      <c r="AH8" s="452" t="n"/>
      <c r="AI8" s="452" t="n"/>
      <c r="AJ8" s="452" t="n"/>
      <c r="AK8" s="452" t="n"/>
      <c r="AL8" s="452" t="n"/>
      <c r="AM8" s="452" t="n"/>
      <c r="AN8" s="452" t="n"/>
      <c r="AO8" s="452" t="n"/>
      <c r="AP8" s="452" t="n"/>
      <c r="AQ8" s="452" t="n"/>
      <c r="AR8" s="452" t="n"/>
      <c r="AS8" s="452" t="n"/>
      <c r="AT8" s="452" t="n"/>
      <c r="AU8" s="452" t="n"/>
      <c r="AV8" s="452" t="n"/>
      <c r="AW8" s="452" t="n"/>
      <c r="AX8" s="452" t="n"/>
      <c r="AY8" s="452" t="n"/>
      <c r="AZ8" s="453" t="n"/>
    </row>
    <row r="9" ht="13.5" customFormat="1" customHeight="1" s="459">
      <c r="A9" s="576" t="n"/>
      <c r="B9" s="577" t="n"/>
      <c r="C9" s="577" t="n"/>
      <c r="D9" s="578" t="n"/>
      <c r="E9" s="578" t="n"/>
      <c r="F9" s="578" t="n"/>
      <c r="G9" s="579" t="n"/>
      <c r="H9" s="579" t="n"/>
      <c r="I9" s="579" t="n"/>
      <c r="J9" s="580" t="n"/>
      <c r="K9" s="581" t="n"/>
      <c r="L9" s="581" t="n"/>
      <c r="M9" s="582" t="n"/>
      <c r="N9" s="184">
        <f>I9-K9-M9</f>
        <v/>
      </c>
      <c r="O9" s="583" t="n"/>
      <c r="P9" s="577" t="n"/>
      <c r="Q9" s="584" t="n"/>
      <c r="R9" s="585" t="n"/>
      <c r="S9" s="586" t="n"/>
      <c r="T9" s="195" t="n"/>
      <c r="U9" s="452" t="n"/>
      <c r="V9" s="452" t="n"/>
      <c r="W9" s="452" t="n"/>
      <c r="X9" s="452" t="n"/>
      <c r="Y9" s="452" t="n"/>
      <c r="Z9" s="452" t="n"/>
      <c r="AA9" s="452" t="n"/>
      <c r="AB9" s="452" t="n"/>
      <c r="AC9" s="452" t="n"/>
      <c r="AD9" s="452" t="n"/>
      <c r="AE9" s="452" t="n"/>
      <c r="AF9" s="452" t="n"/>
      <c r="AG9" s="452" t="n"/>
      <c r="AH9" s="452" t="n"/>
      <c r="AI9" s="452" t="n"/>
      <c r="AJ9" s="452" t="n"/>
      <c r="AK9" s="452" t="n"/>
      <c r="AL9" s="452" t="n"/>
      <c r="AM9" s="452" t="n"/>
      <c r="AN9" s="452" t="n"/>
      <c r="AO9" s="452" t="n"/>
      <c r="AP9" s="452" t="n"/>
      <c r="AQ9" s="452" t="n"/>
      <c r="AR9" s="452" t="n"/>
      <c r="AS9" s="452" t="n"/>
      <c r="AT9" s="452" t="n"/>
      <c r="AU9" s="452" t="n"/>
      <c r="AV9" s="452" t="n"/>
      <c r="AW9" s="452" t="n"/>
      <c r="AX9" s="452" t="n"/>
      <c r="AY9" s="452" t="n"/>
      <c r="AZ9" s="453" t="n"/>
    </row>
    <row r="10" ht="13.5" customFormat="1" customHeight="1" s="459">
      <c r="A10" s="587" t="n"/>
      <c r="B10" s="486" t="n"/>
      <c r="C10" s="486" t="n"/>
      <c r="D10" s="486" t="n"/>
      <c r="E10" s="486" t="n"/>
      <c r="F10" s="486" t="n"/>
      <c r="G10" s="486" t="n"/>
      <c r="H10" s="486" t="n"/>
      <c r="I10" s="486" t="n"/>
      <c r="J10" s="486" t="n"/>
      <c r="K10" s="486" t="n"/>
      <c r="L10" s="486" t="n"/>
      <c r="M10" s="487" t="n"/>
      <c r="N10" s="208">
        <f>SUM(N7:N9)</f>
        <v/>
      </c>
      <c r="O10" s="208" t="n"/>
      <c r="P10" s="588" t="n"/>
      <c r="Q10" s="589" t="n"/>
      <c r="R10" s="589" t="n"/>
      <c r="S10" s="589" t="n"/>
      <c r="T10" s="558" t="n"/>
      <c r="U10" s="211" t="n"/>
      <c r="V10" s="558" t="n"/>
      <c r="W10" s="558" t="n"/>
      <c r="X10" s="558" t="n"/>
      <c r="Y10" s="558" t="n"/>
      <c r="Z10" s="558" t="n"/>
      <c r="AA10" s="558" t="n"/>
      <c r="AB10" s="558" t="n"/>
      <c r="AC10" s="558" t="n"/>
      <c r="AD10" s="558" t="n"/>
      <c r="AE10" s="558" t="n"/>
      <c r="AF10" s="558" t="n"/>
      <c r="AG10" s="558" t="n"/>
      <c r="AH10" s="558" t="n"/>
      <c r="AI10" s="558" t="n"/>
      <c r="AJ10" s="558" t="n"/>
      <c r="AK10" s="558" t="n"/>
      <c r="AL10" s="558" t="n"/>
      <c r="AM10" s="558" t="n"/>
      <c r="AN10" s="558" t="n"/>
      <c r="AO10" s="558" t="n"/>
      <c r="AP10" s="558" t="n"/>
      <c r="AQ10" s="558" t="n"/>
      <c r="AR10" s="558" t="n"/>
      <c r="AS10" s="558" t="n"/>
      <c r="AT10" s="558" t="n"/>
      <c r="AU10" s="558" t="n"/>
      <c r="AV10" s="558" t="n"/>
      <c r="AW10" s="558" t="n"/>
      <c r="AX10" s="558" t="n"/>
      <c r="AY10" s="558" t="n"/>
      <c r="AZ10" s="558" t="n"/>
    </row>
    <row r="11" ht="13.5" customFormat="1" customHeight="1" s="459">
      <c r="A11" s="569" t="n"/>
      <c r="B11" s="543" t="n"/>
      <c r="C11" s="543" t="n"/>
      <c r="D11" s="556" t="n"/>
      <c r="E11" s="556" t="n"/>
      <c r="F11" s="556" t="n"/>
      <c r="G11" s="544" t="n"/>
      <c r="H11" s="544" t="n"/>
      <c r="I11" s="544" t="n"/>
      <c r="J11" s="561" t="n"/>
      <c r="K11" s="596" t="n"/>
      <c r="L11" s="590" t="n"/>
      <c r="M11" s="591" t="n"/>
      <c r="N11" s="184">
        <f>I11-K11-M11</f>
        <v/>
      </c>
      <c r="O11" s="565" t="n"/>
      <c r="P11" s="597" t="n"/>
      <c r="Q11" s="593" t="n"/>
      <c r="R11" s="594" t="n"/>
      <c r="S11" s="568" t="n"/>
      <c r="T11" s="453" t="n"/>
      <c r="U11" s="452" t="n"/>
      <c r="V11" s="452" t="n"/>
      <c r="W11" s="452" t="n"/>
      <c r="X11" s="452" t="n"/>
      <c r="Y11" s="452" t="n"/>
      <c r="Z11" s="452" t="n"/>
      <c r="AA11" s="452" t="n"/>
      <c r="AB11" s="452" t="n"/>
      <c r="AC11" s="452" t="n"/>
      <c r="AD11" s="452" t="n"/>
      <c r="AE11" s="452" t="n"/>
      <c r="AF11" s="452" t="n"/>
      <c r="AG11" s="452" t="n"/>
      <c r="AH11" s="452" t="n"/>
      <c r="AI11" s="452" t="n"/>
      <c r="AJ11" s="452" t="n"/>
      <c r="AK11" s="452" t="n"/>
      <c r="AL11" s="452" t="n"/>
      <c r="AM11" s="452" t="n"/>
      <c r="AN11" s="452" t="n"/>
      <c r="AO11" s="452" t="n"/>
      <c r="AP11" s="452" t="n"/>
      <c r="AQ11" s="452" t="n"/>
      <c r="AR11" s="452" t="n"/>
      <c r="AS11" s="452" t="n"/>
      <c r="AT11" s="452" t="n"/>
      <c r="AU11" s="452" t="n"/>
      <c r="AV11" s="452" t="n"/>
      <c r="AW11" s="452" t="n"/>
      <c r="AX11" s="452" t="n"/>
      <c r="AY11" s="452" t="n"/>
      <c r="AZ11" s="453" t="n"/>
    </row>
    <row r="12" ht="15" customFormat="1" customHeight="1" s="459">
      <c r="A12" s="569" t="n"/>
      <c r="B12" s="543" t="n"/>
      <c r="C12" s="543" t="n"/>
      <c r="D12" s="556" t="n"/>
      <c r="E12" s="556" t="n"/>
      <c r="F12" s="556" t="n"/>
      <c r="G12" s="544" t="n"/>
      <c r="H12" s="544" t="n"/>
      <c r="I12" s="544" t="n"/>
      <c r="J12" s="570" t="n"/>
      <c r="K12" s="562" t="n"/>
      <c r="L12" s="562" t="n"/>
      <c r="M12" s="571" t="n"/>
      <c r="N12" s="184">
        <f>I12-K12-M12</f>
        <v/>
      </c>
      <c r="O12" s="572" t="n"/>
      <c r="P12" s="543" t="n"/>
      <c r="Q12" s="573" t="n"/>
      <c r="R12" s="574" t="n"/>
      <c r="S12" s="575" t="n"/>
      <c r="T12" s="195" t="n"/>
      <c r="U12" s="452" t="n"/>
      <c r="V12" s="452" t="n"/>
      <c r="W12" s="452" t="n"/>
      <c r="X12" s="452" t="n"/>
      <c r="Y12" s="452" t="n"/>
      <c r="Z12" s="452" t="n"/>
      <c r="AA12" s="452" t="n"/>
      <c r="AB12" s="452" t="n"/>
      <c r="AC12" s="452" t="n"/>
      <c r="AD12" s="452" t="n"/>
      <c r="AE12" s="452" t="n"/>
      <c r="AF12" s="452" t="n"/>
      <c r="AG12" s="452" t="n"/>
      <c r="AH12" s="452" t="n"/>
      <c r="AI12" s="452" t="n"/>
      <c r="AJ12" s="452" t="n"/>
      <c r="AK12" s="452" t="n"/>
      <c r="AL12" s="452" t="n"/>
      <c r="AM12" s="452" t="n"/>
      <c r="AN12" s="452" t="n"/>
      <c r="AO12" s="452" t="n"/>
      <c r="AP12" s="452" t="n"/>
      <c r="AQ12" s="452" t="n"/>
      <c r="AR12" s="452" t="n"/>
      <c r="AS12" s="452" t="n"/>
      <c r="AT12" s="452" t="n"/>
      <c r="AU12" s="452" t="n"/>
      <c r="AV12" s="452" t="n"/>
      <c r="AW12" s="452" t="n"/>
      <c r="AX12" s="452" t="n"/>
      <c r="AY12" s="452" t="n"/>
      <c r="AZ12" s="453" t="n"/>
    </row>
    <row r="13" ht="13.5" customFormat="1" customHeight="1" s="459">
      <c r="A13" s="576" t="n"/>
      <c r="B13" s="577" t="n"/>
      <c r="C13" s="577" t="n"/>
      <c r="D13" s="578" t="n"/>
      <c r="E13" s="578" t="n"/>
      <c r="F13" s="578" t="n"/>
      <c r="G13" s="579" t="n"/>
      <c r="H13" s="579" t="n"/>
      <c r="I13" s="579" t="n"/>
      <c r="J13" s="580" t="n"/>
      <c r="K13" s="581" t="n"/>
      <c r="L13" s="581" t="n"/>
      <c r="M13" s="582" t="n"/>
      <c r="N13" s="184">
        <f>I13-K13-M13</f>
        <v/>
      </c>
      <c r="O13" s="583" t="n"/>
      <c r="P13" s="577" t="n"/>
      <c r="Q13" s="584" t="n"/>
      <c r="R13" s="585" t="n"/>
      <c r="S13" s="586" t="n"/>
      <c r="T13" s="195" t="n"/>
      <c r="U13" s="452" t="n"/>
      <c r="V13" s="452" t="n"/>
      <c r="W13" s="452" t="n"/>
      <c r="X13" s="452" t="n"/>
      <c r="Y13" s="452" t="n"/>
      <c r="Z13" s="452" t="n"/>
      <c r="AA13" s="452" t="n"/>
      <c r="AB13" s="452" t="n"/>
      <c r="AC13" s="452" t="n"/>
      <c r="AD13" s="452" t="n"/>
      <c r="AE13" s="452" t="n"/>
      <c r="AF13" s="452" t="n"/>
      <c r="AG13" s="452" t="n"/>
      <c r="AH13" s="452" t="n"/>
      <c r="AI13" s="452" t="n"/>
      <c r="AJ13" s="452" t="n"/>
      <c r="AK13" s="452" t="n"/>
      <c r="AL13" s="452" t="n"/>
      <c r="AM13" s="452" t="n"/>
      <c r="AN13" s="452" t="n"/>
      <c r="AO13" s="452" t="n"/>
      <c r="AP13" s="452" t="n"/>
      <c r="AQ13" s="452" t="n"/>
      <c r="AR13" s="452" t="n"/>
      <c r="AS13" s="452" t="n"/>
      <c r="AT13" s="452" t="n"/>
      <c r="AU13" s="452" t="n"/>
      <c r="AV13" s="452" t="n"/>
      <c r="AW13" s="452" t="n"/>
      <c r="AX13" s="452" t="n"/>
      <c r="AY13" s="452" t="n"/>
      <c r="AZ13" s="453" t="n"/>
    </row>
    <row r="14" ht="13.5" customFormat="1" customHeight="1" s="459">
      <c r="A14" s="587" t="n"/>
      <c r="B14" s="486" t="n"/>
      <c r="C14" s="486" t="n"/>
      <c r="D14" s="486" t="n"/>
      <c r="E14" s="486" t="n"/>
      <c r="F14" s="486" t="n"/>
      <c r="G14" s="486" t="n"/>
      <c r="H14" s="486" t="n"/>
      <c r="I14" s="486" t="n"/>
      <c r="J14" s="486" t="n"/>
      <c r="K14" s="486" t="n"/>
      <c r="L14" s="486" t="n"/>
      <c r="M14" s="487" t="n"/>
      <c r="N14" s="208">
        <f>SUM(N11:N13)</f>
        <v/>
      </c>
      <c r="O14" s="208" t="n"/>
      <c r="P14" s="588" t="n"/>
      <c r="Q14" s="589" t="n"/>
      <c r="R14" s="589" t="n"/>
      <c r="S14" s="589" t="n"/>
      <c r="T14" s="558" t="n"/>
      <c r="U14" s="211" t="n"/>
      <c r="V14" s="558" t="n"/>
      <c r="W14" s="558" t="n"/>
      <c r="X14" s="558" t="n"/>
      <c r="Y14" s="558" t="n"/>
      <c r="Z14" s="558" t="n"/>
      <c r="AA14" s="558" t="n"/>
      <c r="AB14" s="558" t="n"/>
      <c r="AC14" s="558" t="n"/>
      <c r="AD14" s="558" t="n"/>
      <c r="AE14" s="558" t="n"/>
      <c r="AF14" s="558" t="n"/>
      <c r="AG14" s="558" t="n"/>
      <c r="AH14" s="558" t="n"/>
      <c r="AI14" s="558" t="n"/>
      <c r="AJ14" s="558" t="n"/>
      <c r="AK14" s="558" t="n"/>
      <c r="AL14" s="558" t="n"/>
      <c r="AM14" s="558" t="n"/>
      <c r="AN14" s="558" t="n"/>
      <c r="AO14" s="558" t="n"/>
      <c r="AP14" s="558" t="n"/>
      <c r="AQ14" s="558" t="n"/>
      <c r="AR14" s="558" t="n"/>
      <c r="AS14" s="558" t="n"/>
      <c r="AT14" s="558" t="n"/>
      <c r="AU14" s="558" t="n"/>
      <c r="AV14" s="558" t="n"/>
      <c r="AW14" s="558" t="n"/>
      <c r="AX14" s="558" t="n"/>
      <c r="AY14" s="558" t="n"/>
      <c r="AZ14" s="558" t="n"/>
    </row>
    <row r="15" ht="13.5" customHeight="1" s="418">
      <c r="A15" s="569" t="n"/>
      <c r="B15" s="543" t="n"/>
      <c r="C15" s="543" t="n"/>
      <c r="D15" s="556" t="n"/>
      <c r="E15" s="556" t="n"/>
      <c r="F15" s="556" t="n"/>
      <c r="G15" s="544" t="n"/>
      <c r="H15" s="544" t="n"/>
      <c r="I15" s="544" t="n"/>
      <c r="J15" s="561" t="n"/>
      <c r="K15" s="562" t="n"/>
      <c r="L15" s="590" t="n"/>
      <c r="M15" s="591" t="n"/>
      <c r="N15" s="184">
        <f>I15-K15-M15</f>
        <v/>
      </c>
      <c r="O15" s="565" t="n"/>
      <c r="P15" s="598" t="n"/>
      <c r="Q15" s="480" t="n"/>
      <c r="R15" s="594" t="n"/>
      <c r="S15" s="568" t="n"/>
      <c r="T15" s="453" t="n"/>
      <c r="U15" s="452" t="n"/>
      <c r="V15" s="452" t="n"/>
      <c r="W15" s="452" t="n"/>
      <c r="X15" s="452" t="n"/>
      <c r="Y15" s="452" t="n"/>
      <c r="Z15" s="452" t="n"/>
      <c r="AA15" s="452" t="n"/>
      <c r="AB15" s="452" t="n"/>
      <c r="AC15" s="452" t="n"/>
      <c r="AD15" s="452" t="n"/>
      <c r="AE15" s="452" t="n"/>
      <c r="AF15" s="452" t="n"/>
      <c r="AG15" s="452" t="n"/>
      <c r="AH15" s="452" t="n"/>
      <c r="AI15" s="452" t="n"/>
      <c r="AJ15" s="452" t="n"/>
      <c r="AK15" s="452" t="n"/>
      <c r="AL15" s="452" t="n"/>
      <c r="AM15" s="452" t="n"/>
      <c r="AN15" s="452" t="n"/>
      <c r="AO15" s="452" t="n"/>
      <c r="AP15" s="452" t="n"/>
      <c r="AQ15" s="452" t="n"/>
      <c r="AR15" s="452" t="n"/>
      <c r="AS15" s="452" t="n"/>
      <c r="AT15" s="452" t="n"/>
      <c r="AU15" s="452" t="n"/>
      <c r="AV15" s="452" t="n"/>
      <c r="AW15" s="452" t="n"/>
      <c r="AX15" s="452" t="n"/>
      <c r="AY15" s="452" t="n"/>
      <c r="AZ15" s="453" t="n"/>
    </row>
    <row r="16" ht="15" customHeight="1" s="418">
      <c r="A16" s="569" t="n"/>
      <c r="B16" s="543" t="n"/>
      <c r="C16" s="543" t="n"/>
      <c r="D16" s="556" t="n"/>
      <c r="E16" s="556" t="n"/>
      <c r="F16" s="556" t="n"/>
      <c r="G16" s="544" t="n"/>
      <c r="H16" s="544" t="n"/>
      <c r="I16" s="544" t="n"/>
      <c r="J16" s="570" t="n"/>
      <c r="K16" s="562" t="n"/>
      <c r="L16" s="562" t="n"/>
      <c r="M16" s="571" t="n"/>
      <c r="N16" s="184">
        <f>I16-K16-M16</f>
        <v/>
      </c>
      <c r="O16" s="572" t="n"/>
      <c r="P16" s="543" t="n"/>
      <c r="Q16" s="573" t="n"/>
      <c r="R16" s="574" t="n"/>
      <c r="S16" s="575" t="n"/>
      <c r="T16" s="195" t="n"/>
      <c r="U16" s="452" t="n"/>
      <c r="V16" s="452" t="n"/>
      <c r="W16" s="452" t="n"/>
      <c r="X16" s="452" t="n"/>
      <c r="Y16" s="452" t="n"/>
      <c r="Z16" s="452" t="n"/>
      <c r="AA16" s="452" t="n"/>
      <c r="AB16" s="452" t="n"/>
      <c r="AC16" s="452" t="n"/>
      <c r="AD16" s="452" t="n"/>
      <c r="AE16" s="452" t="n"/>
      <c r="AF16" s="452" t="n"/>
      <c r="AG16" s="452" t="n"/>
      <c r="AH16" s="452" t="n"/>
      <c r="AI16" s="452" t="n"/>
      <c r="AJ16" s="452" t="n"/>
      <c r="AK16" s="452" t="n"/>
      <c r="AL16" s="452" t="n"/>
      <c r="AM16" s="452" t="n"/>
      <c r="AN16" s="452" t="n"/>
      <c r="AO16" s="452" t="n"/>
      <c r="AP16" s="452" t="n"/>
      <c r="AQ16" s="452" t="n"/>
      <c r="AR16" s="452" t="n"/>
      <c r="AS16" s="452" t="n"/>
      <c r="AT16" s="452" t="n"/>
      <c r="AU16" s="452" t="n"/>
      <c r="AV16" s="452" t="n"/>
      <c r="AW16" s="452" t="n"/>
      <c r="AX16" s="452" t="n"/>
      <c r="AY16" s="452" t="n"/>
      <c r="AZ16" s="453" t="n"/>
    </row>
    <row r="17" ht="13.5" customHeight="1" s="418">
      <c r="A17" s="576" t="n"/>
      <c r="B17" s="577" t="n"/>
      <c r="C17" s="577" t="n"/>
      <c r="D17" s="578" t="n"/>
      <c r="E17" s="578" t="n"/>
      <c r="F17" s="578" t="n"/>
      <c r="G17" s="579" t="n"/>
      <c r="H17" s="579" t="n"/>
      <c r="I17" s="579" t="n"/>
      <c r="J17" s="580" t="n"/>
      <c r="K17" s="581" t="n"/>
      <c r="L17" s="581" t="n"/>
      <c r="M17" s="582" t="n"/>
      <c r="N17" s="184">
        <f>I17-K17-M17</f>
        <v/>
      </c>
      <c r="O17" s="583" t="n"/>
      <c r="P17" s="577" t="n"/>
      <c r="Q17" s="584" t="n"/>
      <c r="R17" s="585" t="n"/>
      <c r="S17" s="586" t="n"/>
      <c r="T17" s="195" t="n"/>
      <c r="U17" s="452" t="n"/>
      <c r="V17" s="452" t="n"/>
      <c r="W17" s="452" t="n"/>
      <c r="X17" s="452" t="n"/>
      <c r="Y17" s="452" t="n"/>
      <c r="Z17" s="452" t="n"/>
      <c r="AA17" s="452" t="n"/>
      <c r="AB17" s="452" t="n"/>
      <c r="AC17" s="452" t="n"/>
      <c r="AD17" s="452" t="n"/>
      <c r="AE17" s="452" t="n"/>
      <c r="AF17" s="452" t="n"/>
      <c r="AG17" s="452" t="n"/>
      <c r="AH17" s="452" t="n"/>
      <c r="AI17" s="452" t="n"/>
      <c r="AJ17" s="452" t="n"/>
      <c r="AK17" s="452" t="n"/>
      <c r="AL17" s="452" t="n"/>
      <c r="AM17" s="452" t="n"/>
      <c r="AN17" s="452" t="n"/>
      <c r="AO17" s="452" t="n"/>
      <c r="AP17" s="452" t="n"/>
      <c r="AQ17" s="452" t="n"/>
      <c r="AR17" s="452" t="n"/>
      <c r="AS17" s="452" t="n"/>
      <c r="AT17" s="452" t="n"/>
      <c r="AU17" s="452" t="n"/>
      <c r="AV17" s="452" t="n"/>
      <c r="AW17" s="452" t="n"/>
      <c r="AX17" s="452" t="n"/>
      <c r="AY17" s="452" t="n"/>
      <c r="AZ17" s="453" t="n"/>
    </row>
    <row r="18" ht="13.5" customHeight="1" s="418">
      <c r="A18" s="587" t="n"/>
      <c r="B18" s="486" t="n"/>
      <c r="C18" s="486" t="n"/>
      <c r="D18" s="486" t="n"/>
      <c r="E18" s="486" t="n"/>
      <c r="F18" s="486" t="n"/>
      <c r="G18" s="486" t="n"/>
      <c r="H18" s="486" t="n"/>
      <c r="I18" s="486" t="n"/>
      <c r="J18" s="486" t="n"/>
      <c r="K18" s="486" t="n"/>
      <c r="L18" s="486" t="n"/>
      <c r="M18" s="487" t="n"/>
      <c r="N18" s="208">
        <f>SUM(N15:N17)</f>
        <v/>
      </c>
      <c r="O18" s="208" t="n"/>
      <c r="P18" s="588" t="n"/>
      <c r="Q18" s="589" t="n"/>
      <c r="R18" s="589" t="n"/>
      <c r="S18" s="589" t="n"/>
      <c r="T18" s="558" t="n"/>
      <c r="U18" s="211" t="n"/>
      <c r="V18" s="558" t="n"/>
      <c r="W18" s="558" t="n"/>
      <c r="X18" s="558" t="n"/>
      <c r="Y18" s="558" t="n"/>
      <c r="Z18" s="558" t="n"/>
      <c r="AA18" s="558" t="n"/>
      <c r="AB18" s="558" t="n"/>
      <c r="AC18" s="558" t="n"/>
      <c r="AD18" s="558" t="n"/>
      <c r="AE18" s="558" t="n"/>
      <c r="AF18" s="558" t="n"/>
      <c r="AG18" s="558" t="n"/>
      <c r="AH18" s="558" t="n"/>
      <c r="AI18" s="558" t="n"/>
      <c r="AJ18" s="558" t="n"/>
      <c r="AK18" s="558" t="n"/>
      <c r="AL18" s="558" t="n"/>
      <c r="AM18" s="558" t="n"/>
      <c r="AN18" s="558" t="n"/>
      <c r="AO18" s="558" t="n"/>
      <c r="AP18" s="558" t="n"/>
      <c r="AQ18" s="558" t="n"/>
      <c r="AR18" s="558" t="n"/>
      <c r="AS18" s="558" t="n"/>
      <c r="AT18" s="558" t="n"/>
      <c r="AU18" s="558" t="n"/>
      <c r="AV18" s="558" t="n"/>
      <c r="AW18" s="558" t="n"/>
      <c r="AX18" s="558" t="n"/>
      <c r="AY18" s="558" t="n"/>
      <c r="AZ18" s="558" t="n"/>
    </row>
    <row r="19" ht="13.5" customHeight="1" s="418">
      <c r="A19" s="569" t="n"/>
      <c r="B19" s="543" t="n"/>
      <c r="C19" s="543" t="n"/>
      <c r="D19" s="556" t="n"/>
      <c r="E19" s="556" t="n"/>
      <c r="F19" s="556" t="n"/>
      <c r="G19" s="544" t="n"/>
      <c r="H19" s="544" t="n"/>
      <c r="I19" s="544" t="n"/>
      <c r="J19" s="561" t="n"/>
      <c r="K19" s="596" t="n"/>
      <c r="L19" s="590" t="n"/>
      <c r="M19" s="591" t="n"/>
      <c r="N19" s="184">
        <f>I19-K19-M19</f>
        <v/>
      </c>
      <c r="O19" s="565" t="n"/>
      <c r="P19" s="566" t="n"/>
      <c r="Q19" s="568" t="n"/>
      <c r="R19" s="594" t="n"/>
      <c r="S19" s="568" t="n"/>
      <c r="T19" s="453" t="n"/>
      <c r="U19" s="452" t="n"/>
      <c r="V19" s="452" t="n"/>
      <c r="W19" s="452" t="n"/>
      <c r="X19" s="452" t="n"/>
      <c r="Y19" s="452" t="n"/>
      <c r="Z19" s="452" t="n"/>
      <c r="AA19" s="452" t="n"/>
      <c r="AB19" s="452" t="n"/>
      <c r="AC19" s="452" t="n"/>
      <c r="AD19" s="452" t="n"/>
      <c r="AE19" s="452" t="n"/>
      <c r="AF19" s="452" t="n"/>
      <c r="AG19" s="452" t="n"/>
      <c r="AH19" s="452" t="n"/>
      <c r="AI19" s="452" t="n"/>
      <c r="AJ19" s="452" t="n"/>
      <c r="AK19" s="452" t="n"/>
      <c r="AL19" s="452" t="n"/>
      <c r="AM19" s="452" t="n"/>
      <c r="AN19" s="452" t="n"/>
      <c r="AO19" s="452" t="n"/>
      <c r="AP19" s="452" t="n"/>
      <c r="AQ19" s="452" t="n"/>
      <c r="AR19" s="452" t="n"/>
      <c r="AS19" s="452" t="n"/>
      <c r="AT19" s="452" t="n"/>
      <c r="AU19" s="452" t="n"/>
      <c r="AV19" s="452" t="n"/>
      <c r="AW19" s="452" t="n"/>
      <c r="AX19" s="452" t="n"/>
      <c r="AY19" s="452" t="n"/>
      <c r="AZ19" s="453" t="n"/>
    </row>
    <row r="20" ht="15" customHeight="1" s="418">
      <c r="A20" s="569" t="n"/>
      <c r="B20" s="543" t="n"/>
      <c r="C20" s="543" t="n"/>
      <c r="D20" s="556" t="n"/>
      <c r="E20" s="556" t="n"/>
      <c r="F20" s="556" t="n"/>
      <c r="G20" s="544" t="n"/>
      <c r="H20" s="544" t="n"/>
      <c r="I20" s="544" t="n"/>
      <c r="J20" s="570" t="n"/>
      <c r="K20" s="562" t="n"/>
      <c r="L20" s="562" t="n"/>
      <c r="M20" s="571" t="n"/>
      <c r="N20" s="184">
        <f>I20-K20-M20</f>
        <v/>
      </c>
      <c r="O20" s="572" t="n"/>
      <c r="P20" s="543" t="n"/>
      <c r="Q20" s="573" t="n"/>
      <c r="R20" s="574" t="n"/>
      <c r="S20" s="575" t="n"/>
      <c r="T20" s="195" t="n"/>
      <c r="U20" s="452" t="n"/>
      <c r="V20" s="452" t="n"/>
      <c r="W20" s="452" t="n"/>
      <c r="X20" s="452" t="n"/>
      <c r="Y20" s="452" t="n"/>
      <c r="Z20" s="452" t="n"/>
      <c r="AA20" s="452" t="n"/>
      <c r="AB20" s="452" t="n"/>
      <c r="AC20" s="452" t="n"/>
      <c r="AD20" s="452" t="n"/>
      <c r="AE20" s="452" t="n"/>
      <c r="AF20" s="452" t="n"/>
      <c r="AG20" s="452" t="n"/>
      <c r="AH20" s="452" t="n"/>
      <c r="AI20" s="452" t="n"/>
      <c r="AJ20" s="452" t="n"/>
      <c r="AK20" s="452" t="n"/>
      <c r="AL20" s="452" t="n"/>
      <c r="AM20" s="452" t="n"/>
      <c r="AN20" s="452" t="n"/>
      <c r="AO20" s="452" t="n"/>
      <c r="AP20" s="452" t="n"/>
      <c r="AQ20" s="452" t="n"/>
      <c r="AR20" s="452" t="n"/>
      <c r="AS20" s="452" t="n"/>
      <c r="AT20" s="452" t="n"/>
      <c r="AU20" s="452" t="n"/>
      <c r="AV20" s="452" t="n"/>
      <c r="AW20" s="452" t="n"/>
      <c r="AX20" s="452" t="n"/>
      <c r="AY20" s="452" t="n"/>
      <c r="AZ20" s="453" t="n"/>
    </row>
    <row r="21" ht="13.5" customHeight="1" s="418">
      <c r="A21" s="576" t="n"/>
      <c r="B21" s="577" t="n"/>
      <c r="C21" s="577" t="n"/>
      <c r="D21" s="578" t="n"/>
      <c r="E21" s="578" t="n"/>
      <c r="F21" s="578" t="n"/>
      <c r="G21" s="579" t="n"/>
      <c r="H21" s="579" t="n"/>
      <c r="I21" s="579" t="n"/>
      <c r="J21" s="580" t="n"/>
      <c r="K21" s="581" t="n"/>
      <c r="L21" s="581" t="n"/>
      <c r="M21" s="582" t="n"/>
      <c r="N21" s="184">
        <f>I21-K21-M21</f>
        <v/>
      </c>
      <c r="O21" s="583" t="n"/>
      <c r="P21" s="577" t="n"/>
      <c r="Q21" s="584" t="n"/>
      <c r="R21" s="585" t="n"/>
      <c r="S21" s="586" t="n"/>
      <c r="T21" s="195" t="n"/>
      <c r="U21" s="452" t="n"/>
      <c r="V21" s="452" t="n"/>
      <c r="W21" s="452" t="n"/>
      <c r="X21" s="452" t="n"/>
      <c r="Y21" s="452" t="n"/>
      <c r="Z21" s="452" t="n"/>
      <c r="AA21" s="452" t="n"/>
      <c r="AB21" s="452" t="n"/>
      <c r="AC21" s="452" t="n"/>
      <c r="AD21" s="452" t="n"/>
      <c r="AE21" s="452" t="n"/>
      <c r="AF21" s="452" t="n"/>
      <c r="AG21" s="452" t="n"/>
      <c r="AH21" s="452" t="n"/>
      <c r="AI21" s="452" t="n"/>
      <c r="AJ21" s="452" t="n"/>
      <c r="AK21" s="452" t="n"/>
      <c r="AL21" s="452" t="n"/>
      <c r="AM21" s="452" t="n"/>
      <c r="AN21" s="452" t="n"/>
      <c r="AO21" s="452" t="n"/>
      <c r="AP21" s="452" t="n"/>
      <c r="AQ21" s="452" t="n"/>
      <c r="AR21" s="452" t="n"/>
      <c r="AS21" s="452" t="n"/>
      <c r="AT21" s="452" t="n"/>
      <c r="AU21" s="452" t="n"/>
      <c r="AV21" s="452" t="n"/>
      <c r="AW21" s="452" t="n"/>
      <c r="AX21" s="452" t="n"/>
      <c r="AY21" s="452" t="n"/>
      <c r="AZ21" s="453" t="n"/>
    </row>
    <row r="22" ht="13.5" customHeight="1" s="418">
      <c r="A22" s="587" t="n"/>
      <c r="B22" s="486" t="n"/>
      <c r="C22" s="486" t="n"/>
      <c r="D22" s="486" t="n"/>
      <c r="E22" s="486" t="n"/>
      <c r="F22" s="486" t="n"/>
      <c r="G22" s="486" t="n"/>
      <c r="H22" s="486" t="n"/>
      <c r="I22" s="486" t="n"/>
      <c r="J22" s="486" t="n"/>
      <c r="K22" s="486" t="n"/>
      <c r="L22" s="486" t="n"/>
      <c r="M22" s="487" t="n"/>
      <c r="N22" s="208">
        <f>SUM(N19:N21)</f>
        <v/>
      </c>
      <c r="O22" s="208" t="n"/>
      <c r="P22" s="588" t="n"/>
      <c r="Q22" s="589" t="n"/>
      <c r="R22" s="589" t="n"/>
      <c r="S22" s="589" t="n"/>
      <c r="T22" s="558" t="n"/>
      <c r="U22" s="211" t="n"/>
      <c r="V22" s="558" t="n"/>
      <c r="W22" s="558" t="n"/>
      <c r="X22" s="558" t="n"/>
      <c r="Y22" s="558" t="n"/>
      <c r="Z22" s="558" t="n"/>
      <c r="AA22" s="558" t="n"/>
      <c r="AB22" s="558" t="n"/>
      <c r="AC22" s="558" t="n"/>
      <c r="AD22" s="558" t="n"/>
      <c r="AE22" s="558" t="n"/>
      <c r="AF22" s="558" t="n"/>
      <c r="AG22" s="558" t="n"/>
      <c r="AH22" s="558" t="n"/>
      <c r="AI22" s="558" t="n"/>
      <c r="AJ22" s="558" t="n"/>
      <c r="AK22" s="558" t="n"/>
      <c r="AL22" s="558" t="n"/>
      <c r="AM22" s="558" t="n"/>
      <c r="AN22" s="558" t="n"/>
      <c r="AO22" s="558" t="n"/>
      <c r="AP22" s="558" t="n"/>
      <c r="AQ22" s="558" t="n"/>
      <c r="AR22" s="558" t="n"/>
      <c r="AS22" s="558" t="n"/>
      <c r="AT22" s="558" t="n"/>
      <c r="AU22" s="558" t="n"/>
      <c r="AV22" s="558" t="n"/>
      <c r="AW22" s="558" t="n"/>
      <c r="AX22" s="558" t="n"/>
      <c r="AY22" s="558" t="n"/>
      <c r="AZ22" s="558" t="n"/>
    </row>
    <row r="23" ht="13.5" customHeight="1" s="418">
      <c r="A23" s="485" t="n"/>
      <c r="B23" s="486" t="n"/>
      <c r="C23" s="486" t="n"/>
      <c r="D23" s="486" t="n"/>
      <c r="E23" s="486" t="n"/>
      <c r="F23" s="486" t="n"/>
      <c r="G23" s="486" t="n"/>
      <c r="H23" s="486" t="n"/>
      <c r="I23" s="486" t="n"/>
      <c r="J23" s="486" t="n"/>
      <c r="K23" s="486" t="n"/>
      <c r="L23" s="486" t="n"/>
      <c r="M23" s="487" t="n"/>
      <c r="N23" s="221">
        <f>+N6+N10+N14+N18+N22</f>
        <v/>
      </c>
      <c r="O23" s="485" t="n"/>
      <c r="P23" s="494" t="n"/>
      <c r="Q23" s="494" t="n"/>
      <c r="R23" s="494" t="n"/>
      <c r="S23" s="494" t="n"/>
      <c r="T23" s="558" t="n"/>
      <c r="U23" s="211" t="n"/>
      <c r="V23" s="558" t="n"/>
      <c r="W23" s="558" t="n"/>
      <c r="X23" s="558" t="n"/>
      <c r="Y23" s="558" t="n"/>
      <c r="Z23" s="558" t="n"/>
      <c r="AA23" s="558" t="n"/>
      <c r="AB23" s="558" t="n"/>
      <c r="AC23" s="558" t="n"/>
      <c r="AD23" s="558" t="n"/>
      <c r="AE23" s="558" t="n"/>
      <c r="AF23" s="558" t="n"/>
      <c r="AG23" s="558" t="n"/>
      <c r="AH23" s="558" t="n"/>
      <c r="AI23" s="558" t="n"/>
      <c r="AJ23" s="558" t="n"/>
      <c r="AK23" s="558" t="n"/>
      <c r="AL23" s="558" t="n"/>
      <c r="AM23" s="558" t="n"/>
      <c r="AN23" s="558" t="n"/>
      <c r="AO23" s="558" t="n"/>
      <c r="AP23" s="558" t="n"/>
      <c r="AQ23" s="558" t="n"/>
      <c r="AR23" s="558" t="n"/>
      <c r="AS23" s="599" t="n"/>
      <c r="AT23" s="599" t="n"/>
      <c r="AU23" s="599" t="n"/>
      <c r="AV23" s="599" t="n"/>
      <c r="AW23" s="599" t="n"/>
      <c r="AX23" s="599" t="n"/>
      <c r="AY23" s="599" t="n"/>
      <c r="AZ23" s="599" t="n"/>
    </row>
    <row r="24" ht="13.5" customHeight="1" s="418">
      <c r="A24" s="600" t="n"/>
      <c r="B24" s="600" t="n"/>
      <c r="C24" s="600" t="n"/>
      <c r="D24" s="558" t="n"/>
      <c r="E24" s="601" t="n"/>
      <c r="F24" s="602" t="n"/>
      <c r="G24" s="226" t="n"/>
      <c r="H24" s="211" t="n"/>
      <c r="I24" s="211" t="n"/>
      <c r="J24" s="211" t="n"/>
      <c r="K24" s="603" t="n"/>
      <c r="L24" s="211" t="n"/>
      <c r="M24" s="195" t="n"/>
      <c r="N24" s="45" t="n"/>
      <c r="O24" s="195" t="n"/>
      <c r="P24" s="569" t="n"/>
      <c r="Q24" s="448" t="n"/>
      <c r="R24" s="566" t="n"/>
      <c r="S24" s="604" t="n"/>
      <c r="T24" s="558" t="n"/>
      <c r="U24" s="211" t="n"/>
      <c r="V24" s="558" t="n"/>
      <c r="W24" s="558" t="n"/>
      <c r="X24" s="558" t="n"/>
      <c r="Y24" s="558" t="n"/>
      <c r="Z24" s="558" t="n"/>
      <c r="AA24" s="558" t="n"/>
      <c r="AB24" s="558" t="n"/>
      <c r="AC24" s="558" t="n"/>
      <c r="AD24" s="558" t="n"/>
      <c r="AE24" s="558" t="n"/>
      <c r="AF24" s="558" t="n"/>
      <c r="AG24" s="558" t="n"/>
      <c r="AH24" s="558" t="n"/>
      <c r="AI24" s="558" t="n"/>
      <c r="AJ24" s="558" t="n"/>
      <c r="AK24" s="558" t="n"/>
      <c r="AL24" s="558" t="n"/>
      <c r="AM24" s="558" t="n"/>
      <c r="AN24" s="558" t="n"/>
      <c r="AO24" s="558" t="n"/>
      <c r="AP24" s="558" t="n"/>
      <c r="AQ24" s="558" t="n"/>
      <c r="AR24" s="558" t="n"/>
      <c r="AS24" s="558" t="n"/>
      <c r="AT24" s="558" t="n"/>
      <c r="AU24" s="558" t="n"/>
      <c r="AV24" s="558" t="n"/>
      <c r="AW24" s="558" t="n"/>
      <c r="AX24" s="558" t="n"/>
      <c r="AY24" s="558" t="n"/>
      <c r="AZ24" s="558" t="n"/>
    </row>
    <row r="25" ht="13.5" customHeight="1" s="418">
      <c r="A25" s="491" t="inlineStr">
        <is>
          <t>PROVEEDOR</t>
        </is>
      </c>
      <c r="B25" s="506" t="inlineStr">
        <is>
          <t>TIPO</t>
        </is>
      </c>
      <c r="C25" s="498" t="inlineStr">
        <is>
          <t>N° DOCUMENTO</t>
        </is>
      </c>
      <c r="D25" s="462" t="inlineStr">
        <is>
          <t>FEC. REGISTRO</t>
        </is>
      </c>
      <c r="E25" s="462" t="inlineStr">
        <is>
          <t>FEC.DOC</t>
        </is>
      </c>
      <c r="F25" s="462" t="inlineStr">
        <is>
          <t>FEC.VCTO</t>
        </is>
      </c>
      <c r="G25" s="176" t="inlineStr">
        <is>
          <t>IMPORTE</t>
        </is>
      </c>
      <c r="H25" s="176" t="inlineStr">
        <is>
          <t>PAGADO</t>
        </is>
      </c>
      <c r="I25" s="229" t="inlineStr">
        <is>
          <t>SALDO</t>
        </is>
      </c>
      <c r="J25" s="230" t="inlineStr">
        <is>
          <t>% DET</t>
        </is>
      </c>
      <c r="K25" s="559" t="inlineStr">
        <is>
          <t>DET</t>
        </is>
      </c>
      <c r="L25" s="176" t="inlineStr">
        <is>
          <t>% RET</t>
        </is>
      </c>
      <c r="M25" s="176" t="inlineStr">
        <is>
          <t>RET</t>
        </is>
      </c>
      <c r="N25" s="176" t="inlineStr">
        <is>
          <t>Neto</t>
        </is>
      </c>
      <c r="O25" s="498" t="inlineStr">
        <is>
          <t>PRODUCTO</t>
        </is>
      </c>
      <c r="P25" s="492" t="inlineStr">
        <is>
          <t>AGENTE ADUANERO</t>
        </is>
      </c>
      <c r="Q25" s="469" t="inlineStr">
        <is>
          <t>N° O/C-O/S</t>
        </is>
      </c>
      <c r="R25" s="469" t="n"/>
      <c r="S25" s="469" t="inlineStr">
        <is>
          <t>LINK FACTURA</t>
        </is>
      </c>
      <c r="T25" s="195" t="n"/>
      <c r="U25" s="452" t="n"/>
      <c r="V25" s="452" t="n"/>
      <c r="W25" s="452" t="n"/>
      <c r="X25" s="452" t="n"/>
      <c r="Y25" s="452" t="n"/>
      <c r="Z25" s="452" t="n"/>
      <c r="AA25" s="452" t="n"/>
      <c r="AB25" s="452" t="n"/>
      <c r="AC25" s="452" t="n"/>
      <c r="AD25" s="452" t="n"/>
      <c r="AE25" s="452" t="n"/>
      <c r="AF25" s="452" t="n"/>
      <c r="AG25" s="452" t="n"/>
      <c r="AH25" s="452" t="n"/>
      <c r="AI25" s="452" t="n"/>
      <c r="AJ25" s="452" t="n"/>
      <c r="AK25" s="452" t="n"/>
      <c r="AL25" s="452" t="n"/>
      <c r="AM25" s="452" t="n"/>
      <c r="AN25" s="452" t="n"/>
      <c r="AO25" s="452" t="n"/>
      <c r="AP25" s="452" t="n"/>
      <c r="AQ25" s="452" t="n"/>
      <c r="AR25" s="452" t="n"/>
      <c r="AS25" s="448" t="n"/>
      <c r="AT25" s="448" t="n"/>
      <c r="AU25" s="448" t="n"/>
      <c r="AV25" s="448" t="n"/>
      <c r="AW25" s="448" t="n"/>
      <c r="AX25" s="448" t="n"/>
      <c r="AY25" s="448" t="n"/>
      <c r="AZ25" s="447" t="n"/>
    </row>
    <row r="26" hidden="1" ht="15" customFormat="1" customHeight="1" s="605">
      <c r="A26" s="606" t="n"/>
      <c r="B26" s="606" t="n"/>
      <c r="C26" s="606" t="n"/>
      <c r="D26" s="607" t="n"/>
      <c r="E26" s="607" t="n"/>
      <c r="F26" s="607" t="n"/>
      <c r="G26" s="608" t="n"/>
      <c r="H26" s="608" t="n"/>
      <c r="I26" s="608" t="n"/>
      <c r="J26" s="609" t="n"/>
      <c r="K26" s="564" t="n"/>
      <c r="L26" s="564" t="n"/>
      <c r="M26" s="564" t="n"/>
      <c r="N26" s="235">
        <f>I26-K26-M26</f>
        <v/>
      </c>
      <c r="O26" s="610" t="n"/>
      <c r="P26" s="611" t="n"/>
      <c r="Q26" s="612" t="n"/>
      <c r="R26" s="567" t="n"/>
      <c r="S26" s="613" t="n"/>
      <c r="T26" s="614" t="n"/>
      <c r="U26" s="241" t="n"/>
      <c r="V26" s="482" t="n"/>
      <c r="W26" s="482" t="n"/>
      <c r="X26" s="482" t="n"/>
      <c r="Y26" s="482" t="n"/>
      <c r="Z26" s="482" t="n"/>
      <c r="AA26" s="482" t="n"/>
      <c r="AB26" s="482" t="n"/>
      <c r="AC26" s="482" t="n"/>
      <c r="AD26" s="482" t="n"/>
      <c r="AE26" s="482" t="n"/>
      <c r="AF26" s="482" t="n"/>
      <c r="AG26" s="482" t="n"/>
      <c r="AH26" s="482" t="n"/>
      <c r="AI26" s="482" t="n"/>
      <c r="AJ26" s="482" t="n"/>
      <c r="AK26" s="482" t="n"/>
      <c r="AL26" s="482" t="n"/>
      <c r="AM26" s="482" t="n"/>
      <c r="AN26" s="482" t="n"/>
      <c r="AO26" s="482" t="n"/>
      <c r="AP26" s="482" t="n"/>
      <c r="AQ26" s="482" t="n"/>
      <c r="AR26" s="482" t="n"/>
      <c r="AS26" s="482" t="n"/>
      <c r="AT26" s="482" t="n"/>
      <c r="AU26" s="482" t="n"/>
      <c r="AV26" s="482" t="n"/>
      <c r="AW26" s="482" t="n"/>
      <c r="AX26" s="482" t="n"/>
      <c r="AY26" s="482" t="n"/>
      <c r="AZ26" s="482" t="n"/>
    </row>
    <row r="27" hidden="1" ht="15" customHeight="1" s="418">
      <c r="A27" s="569" t="n"/>
      <c r="B27" s="543" t="n"/>
      <c r="C27" s="543" t="n"/>
      <c r="D27" s="556" t="n"/>
      <c r="E27" s="556" t="n"/>
      <c r="F27" s="556" t="n"/>
      <c r="G27" s="544" t="n"/>
      <c r="H27" s="544" t="n"/>
      <c r="I27" s="544" t="n"/>
      <c r="J27" s="609" t="n"/>
      <c r="K27" s="564" t="n"/>
      <c r="L27" s="615" t="n"/>
      <c r="M27" s="564" t="n"/>
      <c r="N27" s="235">
        <f>I27-K27-M27</f>
        <v/>
      </c>
      <c r="O27" s="610" t="n"/>
      <c r="P27" s="597" t="n"/>
      <c r="Q27" s="575" t="n"/>
      <c r="R27" s="567" t="n"/>
      <c r="S27" s="616" t="n"/>
      <c r="T27" s="614" t="n"/>
      <c r="U27" s="241" t="n"/>
      <c r="V27" s="482" t="n"/>
      <c r="W27" s="482" t="n"/>
      <c r="X27" s="482" t="n"/>
      <c r="Y27" s="482" t="n"/>
      <c r="Z27" s="482" t="n"/>
      <c r="AA27" s="482" t="n"/>
      <c r="AB27" s="482" t="n"/>
      <c r="AC27" s="482" t="n"/>
      <c r="AD27" s="482" t="n"/>
      <c r="AE27" s="482" t="n"/>
      <c r="AF27" s="482" t="n"/>
      <c r="AG27" s="482" t="n"/>
      <c r="AH27" s="482" t="n"/>
      <c r="AI27" s="482" t="n"/>
      <c r="AJ27" s="482" t="n"/>
      <c r="AK27" s="482" t="n"/>
      <c r="AL27" s="482" t="n"/>
      <c r="AM27" s="482" t="n"/>
      <c r="AN27" s="482" t="n"/>
      <c r="AO27" s="482" t="n"/>
      <c r="AP27" s="482" t="n"/>
      <c r="AQ27" s="482" t="n"/>
      <c r="AR27" s="482" t="n"/>
      <c r="AS27" s="482" t="n"/>
      <c r="AT27" s="482" t="n"/>
      <c r="AU27" s="482" t="n"/>
      <c r="AV27" s="482" t="n"/>
      <c r="AW27" s="482" t="n"/>
      <c r="AX27" s="482" t="n"/>
      <c r="AY27" s="482" t="n"/>
      <c r="AZ27" s="482" t="n"/>
    </row>
    <row r="28" hidden="1" ht="15" customHeight="1" s="418">
      <c r="A28" s="569" t="n"/>
      <c r="B28" s="543" t="n"/>
      <c r="C28" s="543" t="n"/>
      <c r="D28" s="556" t="n"/>
      <c r="E28" s="556" t="n"/>
      <c r="F28" s="556" t="n"/>
      <c r="G28" s="544" t="n"/>
      <c r="H28" s="544" t="n"/>
      <c r="I28" s="544" t="n"/>
      <c r="J28" s="609" t="n"/>
      <c r="K28" s="564" t="n"/>
      <c r="L28" s="564" t="n"/>
      <c r="M28" s="564" t="n"/>
      <c r="N28" s="235">
        <f>I28-K28-M28</f>
        <v/>
      </c>
      <c r="O28" s="617" t="n"/>
      <c r="P28" s="597" t="n"/>
      <c r="Q28" s="575" t="n"/>
      <c r="R28" s="567" t="n"/>
      <c r="S28" s="618" t="n"/>
      <c r="T28" s="614" t="n"/>
      <c r="U28" s="241" t="n"/>
      <c r="V28" s="482" t="n"/>
      <c r="W28" s="482" t="n"/>
      <c r="X28" s="482" t="n"/>
      <c r="Y28" s="482" t="n"/>
      <c r="Z28" s="482" t="n"/>
      <c r="AA28" s="482" t="n"/>
      <c r="AB28" s="482" t="n"/>
      <c r="AC28" s="482" t="n"/>
      <c r="AD28" s="482" t="n"/>
      <c r="AE28" s="482" t="n"/>
      <c r="AF28" s="482" t="n"/>
      <c r="AG28" s="482" t="n"/>
      <c r="AH28" s="482" t="n"/>
      <c r="AI28" s="482" t="n"/>
      <c r="AJ28" s="482" t="n"/>
      <c r="AK28" s="482" t="n"/>
      <c r="AL28" s="482" t="n"/>
      <c r="AM28" s="482" t="n"/>
      <c r="AN28" s="482" t="n"/>
      <c r="AO28" s="482" t="n"/>
      <c r="AP28" s="482" t="n"/>
      <c r="AQ28" s="482" t="n"/>
      <c r="AR28" s="482" t="n"/>
      <c r="AS28" s="482" t="n"/>
      <c r="AT28" s="482" t="n"/>
      <c r="AU28" s="482" t="n"/>
      <c r="AV28" s="482" t="n"/>
      <c r="AW28" s="482" t="n"/>
      <c r="AX28" s="482" t="n"/>
      <c r="AY28" s="482" t="n"/>
      <c r="AZ28" s="482" t="n"/>
    </row>
    <row r="29" hidden="1" ht="15" customHeight="1" s="418">
      <c r="A29" s="569" t="n"/>
      <c r="B29" s="543" t="n"/>
      <c r="C29" s="543" t="n"/>
      <c r="D29" s="556" t="n"/>
      <c r="E29" s="556" t="n"/>
      <c r="F29" s="556" t="n"/>
      <c r="G29" s="544" t="n"/>
      <c r="H29" s="544" t="n"/>
      <c r="I29" s="544" t="n"/>
      <c r="J29" s="609" t="n"/>
      <c r="K29" s="564" t="n"/>
      <c r="L29" s="615" t="n"/>
      <c r="M29" s="564" t="n"/>
      <c r="N29" s="235">
        <f>I29-K29-M29</f>
        <v/>
      </c>
      <c r="O29" s="617" t="n"/>
      <c r="P29" s="619" t="n"/>
      <c r="Q29" s="575" t="n"/>
      <c r="R29" s="567" t="n"/>
      <c r="S29" s="618" t="n"/>
      <c r="T29" s="614" t="n"/>
      <c r="U29" s="241" t="n"/>
      <c r="V29" s="482" t="n"/>
      <c r="W29" s="482" t="n"/>
      <c r="X29" s="482" t="n"/>
      <c r="Y29" s="482" t="n"/>
      <c r="Z29" s="482" t="n"/>
      <c r="AA29" s="482" t="n"/>
      <c r="AB29" s="482" t="n"/>
      <c r="AC29" s="482" t="n"/>
      <c r="AD29" s="482" t="n"/>
      <c r="AE29" s="482" t="n"/>
      <c r="AF29" s="482" t="n"/>
      <c r="AG29" s="482" t="n"/>
      <c r="AH29" s="482" t="n"/>
      <c r="AI29" s="482" t="n"/>
      <c r="AJ29" s="482" t="n"/>
      <c r="AK29" s="482" t="n"/>
      <c r="AL29" s="482" t="n"/>
      <c r="AM29" s="482" t="n"/>
      <c r="AN29" s="482" t="n"/>
      <c r="AO29" s="482" t="n"/>
      <c r="AP29" s="482" t="n"/>
      <c r="AQ29" s="482" t="n"/>
      <c r="AR29" s="482" t="n"/>
      <c r="AS29" s="482" t="n"/>
      <c r="AT29" s="482" t="n"/>
      <c r="AU29" s="482" t="n"/>
      <c r="AV29" s="482" t="n"/>
      <c r="AW29" s="482" t="n"/>
      <c r="AX29" s="482" t="n"/>
      <c r="AY29" s="482" t="n"/>
      <c r="AZ29" s="482" t="n"/>
    </row>
    <row r="30" hidden="1" ht="15" customHeight="1" s="418">
      <c r="A30" s="569" t="n"/>
      <c r="B30" s="543" t="n"/>
      <c r="C30" s="543" t="n"/>
      <c r="D30" s="556" t="n"/>
      <c r="E30" s="556" t="n"/>
      <c r="F30" s="556" t="n"/>
      <c r="G30" s="544" t="n"/>
      <c r="H30" s="544" t="n"/>
      <c r="I30" s="544" t="n"/>
      <c r="J30" s="609" t="n"/>
      <c r="K30" s="564" t="n"/>
      <c r="L30" s="564" t="n"/>
      <c r="M30" s="564" t="n"/>
      <c r="N30" s="235">
        <f>I30-K30-M30</f>
        <v/>
      </c>
      <c r="O30" s="617" t="n"/>
      <c r="P30" s="597" t="n"/>
      <c r="Q30" s="575" t="n"/>
      <c r="R30" s="567" t="n"/>
      <c r="S30" s="618" t="n"/>
      <c r="T30" s="614" t="n"/>
      <c r="U30" s="241" t="n"/>
      <c r="V30" s="482" t="n"/>
      <c r="W30" s="482" t="n"/>
      <c r="X30" s="482" t="n"/>
      <c r="Y30" s="482" t="n"/>
      <c r="Z30" s="482" t="n"/>
      <c r="AA30" s="482" t="n"/>
      <c r="AB30" s="482" t="n"/>
      <c r="AC30" s="482" t="n"/>
      <c r="AD30" s="482" t="n"/>
      <c r="AE30" s="482" t="n"/>
      <c r="AF30" s="482" t="n"/>
      <c r="AG30" s="482" t="n"/>
      <c r="AH30" s="482" t="n"/>
      <c r="AI30" s="482" t="n"/>
      <c r="AJ30" s="482" t="n"/>
      <c r="AK30" s="482" t="n"/>
      <c r="AL30" s="482" t="n"/>
      <c r="AM30" s="482" t="n"/>
      <c r="AN30" s="482" t="n"/>
      <c r="AO30" s="482" t="n"/>
      <c r="AP30" s="482" t="n"/>
      <c r="AQ30" s="482" t="n"/>
      <c r="AR30" s="482" t="n"/>
      <c r="AS30" s="482" t="n"/>
      <c r="AT30" s="482" t="n"/>
      <c r="AU30" s="482" t="n"/>
      <c r="AV30" s="482" t="n"/>
      <c r="AW30" s="482" t="n"/>
      <c r="AX30" s="482" t="n"/>
      <c r="AY30" s="482" t="n"/>
      <c r="AZ30" s="482" t="n"/>
    </row>
    <row r="31" hidden="1" ht="15" customHeight="1" s="418">
      <c r="A31" s="569" t="n"/>
      <c r="B31" s="543" t="n"/>
      <c r="C31" s="543" t="n"/>
      <c r="D31" s="556" t="n"/>
      <c r="E31" s="556" t="n"/>
      <c r="F31" s="556" t="n"/>
      <c r="G31" s="544" t="n"/>
      <c r="H31" s="544" t="n"/>
      <c r="I31" s="544" t="n"/>
      <c r="J31" s="609" t="n"/>
      <c r="K31" s="564" t="n"/>
      <c r="L31" s="564" t="n"/>
      <c r="M31" s="564" t="n"/>
      <c r="N31" s="235">
        <f>I31-K31-M31</f>
        <v/>
      </c>
      <c r="O31" s="617" t="n"/>
      <c r="P31" s="597" t="n"/>
      <c r="Q31" s="575" t="n"/>
      <c r="R31" s="567" t="n"/>
      <c r="S31" s="618" t="n"/>
      <c r="T31" s="614" t="n"/>
      <c r="U31" s="241" t="n"/>
      <c r="V31" s="482" t="n"/>
      <c r="W31" s="482" t="n"/>
      <c r="X31" s="482" t="n"/>
      <c r="Y31" s="482" t="n"/>
      <c r="Z31" s="482" t="n"/>
      <c r="AA31" s="482" t="n"/>
      <c r="AB31" s="482" t="n"/>
      <c r="AC31" s="482" t="n"/>
      <c r="AD31" s="482" t="n"/>
      <c r="AE31" s="482" t="n"/>
      <c r="AF31" s="482" t="n"/>
      <c r="AG31" s="482" t="n"/>
      <c r="AH31" s="482" t="n"/>
      <c r="AI31" s="482" t="n"/>
      <c r="AJ31" s="482" t="n"/>
      <c r="AK31" s="482" t="n"/>
      <c r="AL31" s="482" t="n"/>
      <c r="AM31" s="482" t="n"/>
      <c r="AN31" s="482" t="n"/>
      <c r="AO31" s="482" t="n"/>
      <c r="AP31" s="482" t="n"/>
      <c r="AQ31" s="482" t="n"/>
      <c r="AR31" s="482" t="n"/>
      <c r="AS31" s="482" t="n"/>
      <c r="AT31" s="482" t="n"/>
      <c r="AU31" s="482" t="n"/>
      <c r="AV31" s="482" t="n"/>
      <c r="AW31" s="482" t="n"/>
      <c r="AX31" s="482" t="n"/>
      <c r="AY31" s="482" t="n"/>
      <c r="AZ31" s="482" t="n"/>
    </row>
    <row r="32" hidden="1" ht="15" customHeight="1" s="418">
      <c r="A32" s="569" t="n"/>
      <c r="B32" s="543" t="n"/>
      <c r="C32" s="543" t="n"/>
      <c r="D32" s="556" t="n"/>
      <c r="E32" s="556" t="n"/>
      <c r="F32" s="556" t="n"/>
      <c r="G32" s="544" t="n"/>
      <c r="H32" s="544" t="n"/>
      <c r="I32" s="544" t="n"/>
      <c r="J32" s="620" t="n"/>
      <c r="K32" s="621" t="n"/>
      <c r="L32" s="564" t="n"/>
      <c r="M32" s="564" t="n"/>
      <c r="N32" s="184">
        <f>I32-K32-M32</f>
        <v/>
      </c>
      <c r="O32" s="617" t="n"/>
      <c r="P32" s="597" t="n"/>
      <c r="Q32" s="622" t="n"/>
      <c r="R32" s="567" t="n"/>
      <c r="S32" s="623" t="n"/>
      <c r="T32" s="614" t="n"/>
      <c r="U32" s="241" t="n"/>
      <c r="V32" s="482" t="n"/>
      <c r="W32" s="482" t="n"/>
      <c r="X32" s="482" t="n"/>
      <c r="Y32" s="482" t="n"/>
      <c r="Z32" s="482" t="n"/>
      <c r="AA32" s="482" t="n"/>
      <c r="AB32" s="482" t="n"/>
      <c r="AC32" s="482" t="n"/>
      <c r="AD32" s="482" t="n"/>
      <c r="AE32" s="482" t="n"/>
      <c r="AF32" s="482" t="n"/>
      <c r="AG32" s="482" t="n"/>
      <c r="AH32" s="482" t="n"/>
      <c r="AI32" s="482" t="n"/>
      <c r="AJ32" s="482" t="n"/>
      <c r="AK32" s="482" t="n"/>
      <c r="AL32" s="482" t="n"/>
      <c r="AM32" s="482" t="n"/>
      <c r="AN32" s="482" t="n"/>
      <c r="AO32" s="482" t="n"/>
      <c r="AP32" s="482" t="n"/>
      <c r="AQ32" s="482" t="n"/>
      <c r="AR32" s="482" t="n"/>
      <c r="AS32" s="482" t="n"/>
      <c r="AT32" s="482" t="n"/>
      <c r="AU32" s="482" t="n"/>
      <c r="AV32" s="482" t="n"/>
      <c r="AW32" s="482" t="n"/>
      <c r="AX32" s="482" t="n"/>
      <c r="AY32" s="482" t="n"/>
      <c r="AZ32" s="482" t="n"/>
    </row>
    <row r="33" hidden="1" ht="13.5" customHeight="1" s="418">
      <c r="A33" s="624" t="n"/>
      <c r="B33" s="486" t="n"/>
      <c r="C33" s="486" t="n"/>
      <c r="D33" s="486" t="n"/>
      <c r="E33" s="486" t="n"/>
      <c r="F33" s="486" t="n"/>
      <c r="G33" s="486" t="n"/>
      <c r="H33" s="486" t="n"/>
      <c r="I33" s="486" t="n"/>
      <c r="J33" s="486" t="n"/>
      <c r="K33" s="486" t="n"/>
      <c r="L33" s="486" t="n"/>
      <c r="M33" s="487" t="n"/>
      <c r="N33" s="208">
        <f>SUM(N26:N32)</f>
        <v/>
      </c>
      <c r="O33" s="208" t="n"/>
      <c r="P33" s="588" t="n"/>
      <c r="Q33" s="589" t="n"/>
      <c r="R33" s="589" t="n"/>
      <c r="S33" s="625" t="n"/>
      <c r="U33" s="211" t="n"/>
      <c r="V33" s="558" t="n"/>
      <c r="W33" s="558" t="n"/>
      <c r="X33" s="558" t="n"/>
      <c r="Y33" s="558" t="n"/>
      <c r="Z33" s="558" t="n"/>
      <c r="AA33" s="558" t="n"/>
      <c r="AB33" s="558" t="n"/>
      <c r="AC33" s="558" t="n"/>
      <c r="AD33" s="558" t="n"/>
      <c r="AE33" s="558" t="n"/>
      <c r="AF33" s="558" t="n"/>
      <c r="AG33" s="558" t="n"/>
      <c r="AH33" s="558" t="n"/>
      <c r="AI33" s="558" t="n"/>
      <c r="AJ33" s="558" t="n"/>
      <c r="AK33" s="558" t="n"/>
      <c r="AL33" s="558" t="n"/>
      <c r="AM33" s="558" t="n"/>
      <c r="AN33" s="558" t="n"/>
      <c r="AO33" s="558" t="n"/>
      <c r="AP33" s="558" t="n"/>
      <c r="AQ33" s="558" t="n"/>
      <c r="AR33" s="558" t="n"/>
      <c r="AS33" s="558" t="n"/>
      <c r="AT33" s="558" t="n"/>
      <c r="AU33" s="558" t="n"/>
      <c r="AV33" s="558" t="n"/>
      <c r="AW33" s="558" t="n"/>
      <c r="AX33" s="558" t="n"/>
      <c r="AY33" s="558" t="n"/>
      <c r="AZ33" s="558" t="n"/>
    </row>
    <row r="34" hidden="1" ht="15" customHeight="1" s="418">
      <c r="A34" s="569" t="n"/>
      <c r="B34" s="543" t="n"/>
      <c r="C34" s="543" t="n"/>
      <c r="D34" s="556" t="n"/>
      <c r="E34" s="556" t="n"/>
      <c r="F34" s="556" t="n"/>
      <c r="G34" s="544" t="n"/>
      <c r="H34" s="544" t="n"/>
      <c r="I34" s="544" t="n"/>
      <c r="J34" s="609" t="n"/>
      <c r="K34" s="564" t="n"/>
      <c r="L34" s="564" t="n"/>
      <c r="M34" s="564" t="n"/>
      <c r="N34" s="235">
        <f>I34-K34-M34</f>
        <v/>
      </c>
      <c r="O34" s="610" t="n"/>
      <c r="P34" s="626" t="inlineStr">
        <is>
          <t>DOGANA S.A. AGENTES AFIANZADOS DE ADUANAS</t>
        </is>
      </c>
      <c r="Q34" s="573" t="n"/>
      <c r="R34" s="448" t="n"/>
      <c r="S34" s="618" t="n"/>
      <c r="T34" s="614" t="n"/>
      <c r="U34" s="241" t="n"/>
      <c r="V34" s="482" t="n"/>
      <c r="W34" s="482" t="n"/>
      <c r="X34" s="482" t="n"/>
      <c r="Y34" s="482" t="n"/>
      <c r="Z34" s="482" t="n"/>
      <c r="AA34" s="482" t="n"/>
      <c r="AB34" s="482" t="n"/>
      <c r="AC34" s="482" t="n"/>
      <c r="AD34" s="482" t="n"/>
      <c r="AE34" s="482" t="n"/>
      <c r="AF34" s="482" t="n"/>
      <c r="AG34" s="482" t="n"/>
      <c r="AH34" s="482" t="n"/>
      <c r="AI34" s="482" t="n"/>
      <c r="AJ34" s="482" t="n"/>
      <c r="AK34" s="482" t="n"/>
      <c r="AL34" s="482" t="n"/>
      <c r="AM34" s="482" t="n"/>
      <c r="AN34" s="482" t="n"/>
      <c r="AO34" s="482" t="n"/>
      <c r="AP34" s="482" t="n"/>
      <c r="AQ34" s="482" t="n"/>
      <c r="AR34" s="482" t="n"/>
      <c r="AS34" s="482" t="n"/>
      <c r="AT34" s="482" t="n"/>
      <c r="AU34" s="482" t="n"/>
      <c r="AV34" s="482" t="n"/>
      <c r="AW34" s="482" t="n"/>
      <c r="AX34" s="482" t="n"/>
      <c r="AY34" s="482" t="n"/>
      <c r="AZ34" s="482" t="n"/>
    </row>
    <row r="35" hidden="1" ht="15" customHeight="1" s="418">
      <c r="A35" s="569" t="n"/>
      <c r="B35" s="543" t="n"/>
      <c r="C35" s="543" t="n"/>
      <c r="D35" s="556" t="n"/>
      <c r="E35" s="556" t="n"/>
      <c r="F35" s="556" t="n"/>
      <c r="G35" s="544" t="n"/>
      <c r="H35" s="544" t="n"/>
      <c r="I35" s="544" t="n"/>
      <c r="J35" s="609" t="n"/>
      <c r="K35" s="564" t="n"/>
      <c r="L35" s="564" t="n"/>
      <c r="M35" s="564" t="n"/>
      <c r="N35" s="235">
        <f>I35-K35-M35</f>
        <v/>
      </c>
      <c r="O35" s="617" t="n"/>
      <c r="P35" s="597" t="n"/>
      <c r="Q35" s="573" t="n"/>
      <c r="R35" s="448" t="n"/>
      <c r="S35" s="618" t="n"/>
      <c r="T35" s="627" t="n"/>
      <c r="U35" s="241" t="n"/>
      <c r="V35" s="482" t="n"/>
      <c r="W35" s="482" t="n"/>
      <c r="X35" s="482" t="n"/>
      <c r="Y35" s="482" t="n"/>
      <c r="Z35" s="482" t="n"/>
      <c r="AA35" s="482" t="n"/>
      <c r="AB35" s="482" t="n"/>
      <c r="AC35" s="482" t="n"/>
      <c r="AD35" s="482" t="n"/>
      <c r="AE35" s="482" t="n"/>
      <c r="AF35" s="482" t="n"/>
      <c r="AG35" s="482" t="n"/>
      <c r="AH35" s="482" t="n"/>
      <c r="AI35" s="482" t="n"/>
      <c r="AJ35" s="482" t="n"/>
      <c r="AK35" s="482" t="n"/>
      <c r="AL35" s="482" t="n"/>
      <c r="AM35" s="482" t="n"/>
      <c r="AN35" s="482" t="n"/>
      <c r="AO35" s="482" t="n"/>
      <c r="AP35" s="482" t="n"/>
      <c r="AQ35" s="482" t="n"/>
      <c r="AR35" s="482" t="n"/>
      <c r="AS35" s="482" t="n"/>
      <c r="AT35" s="482" t="n"/>
      <c r="AU35" s="482" t="n"/>
      <c r="AV35" s="482" t="n"/>
      <c r="AW35" s="482" t="n"/>
      <c r="AX35" s="482" t="n"/>
      <c r="AY35" s="482" t="n"/>
      <c r="AZ35" s="482" t="n"/>
    </row>
    <row r="36" hidden="1" ht="15" customHeight="1" s="418">
      <c r="A36" s="569" t="n"/>
      <c r="B36" s="543" t="n"/>
      <c r="C36" s="543" t="n"/>
      <c r="D36" s="556" t="n"/>
      <c r="E36" s="556" t="n"/>
      <c r="F36" s="556" t="n"/>
      <c r="G36" s="544" t="n"/>
      <c r="H36" s="544" t="n"/>
      <c r="I36" s="544" t="n"/>
      <c r="J36" s="609" t="n"/>
      <c r="K36" s="564" t="n"/>
      <c r="L36" s="564" t="n"/>
      <c r="M36" s="564" t="n"/>
      <c r="N36" s="235">
        <f>I36-K36-M36</f>
        <v/>
      </c>
      <c r="O36" s="617" t="n"/>
      <c r="P36" s="597" t="n"/>
      <c r="Q36" s="573" t="n"/>
      <c r="R36" s="448" t="n"/>
      <c r="S36" s="618" t="n"/>
      <c r="T36" s="550" t="n"/>
      <c r="U36" s="241" t="n"/>
      <c r="V36" s="482" t="n"/>
      <c r="W36" s="482" t="n"/>
      <c r="X36" s="482" t="n"/>
      <c r="Y36" s="482" t="n"/>
      <c r="Z36" s="482" t="n"/>
      <c r="AA36" s="482" t="n"/>
      <c r="AB36" s="482" t="n"/>
      <c r="AC36" s="482" t="n"/>
      <c r="AD36" s="482" t="n"/>
      <c r="AE36" s="482" t="n"/>
      <c r="AF36" s="482" t="n"/>
      <c r="AG36" s="482" t="n"/>
      <c r="AH36" s="482" t="n"/>
      <c r="AI36" s="482" t="n"/>
      <c r="AJ36" s="482" t="n"/>
      <c r="AK36" s="482" t="n"/>
      <c r="AL36" s="482" t="n"/>
      <c r="AM36" s="482" t="n"/>
      <c r="AN36" s="482" t="n"/>
      <c r="AO36" s="482" t="n"/>
      <c r="AP36" s="482" t="n"/>
      <c r="AQ36" s="482" t="n"/>
      <c r="AR36" s="482" t="n"/>
      <c r="AS36" s="482" t="n"/>
      <c r="AT36" s="482" t="n"/>
      <c r="AU36" s="482" t="n"/>
      <c r="AV36" s="482" t="n"/>
      <c r="AW36" s="482" t="n"/>
      <c r="AX36" s="482" t="n"/>
      <c r="AY36" s="482" t="n"/>
      <c r="AZ36" s="482" t="n"/>
    </row>
    <row r="37" hidden="1" ht="15" customHeight="1" s="418">
      <c r="A37" s="569" t="n"/>
      <c r="B37" s="543" t="n"/>
      <c r="C37" s="543" t="n"/>
      <c r="D37" s="556" t="n"/>
      <c r="E37" s="556" t="n"/>
      <c r="F37" s="556" t="n"/>
      <c r="G37" s="544" t="n"/>
      <c r="H37" s="544" t="n"/>
      <c r="I37" s="544" t="n"/>
      <c r="J37" s="609" t="n"/>
      <c r="K37" s="564" t="n"/>
      <c r="L37" s="564" t="n"/>
      <c r="M37" s="564" t="n"/>
      <c r="N37" s="235">
        <f>I37-K37-M37</f>
        <v/>
      </c>
      <c r="O37" s="617" t="n"/>
      <c r="P37" s="619" t="n"/>
      <c r="Q37" s="573" t="n"/>
      <c r="R37" s="448" t="n"/>
      <c r="S37" s="618" t="n"/>
      <c r="T37" s="550" t="n"/>
      <c r="U37" s="241" t="n"/>
      <c r="V37" s="482" t="n"/>
      <c r="W37" s="482" t="n"/>
      <c r="X37" s="482" t="n"/>
      <c r="Y37" s="482" t="n"/>
      <c r="Z37" s="482" t="n"/>
      <c r="AA37" s="482" t="n"/>
      <c r="AB37" s="482" t="n"/>
      <c r="AC37" s="482" t="n"/>
      <c r="AD37" s="482" t="n"/>
      <c r="AE37" s="482" t="n"/>
      <c r="AF37" s="482" t="n"/>
      <c r="AG37" s="482" t="n"/>
      <c r="AH37" s="482" t="n"/>
      <c r="AI37" s="482" t="n"/>
      <c r="AJ37" s="482" t="n"/>
      <c r="AK37" s="482" t="n"/>
      <c r="AL37" s="482" t="n"/>
      <c r="AM37" s="482" t="n"/>
      <c r="AN37" s="482" t="n"/>
      <c r="AO37" s="482" t="n"/>
      <c r="AP37" s="482" t="n"/>
      <c r="AQ37" s="482" t="n"/>
      <c r="AR37" s="482" t="n"/>
      <c r="AS37" s="482" t="n"/>
      <c r="AT37" s="482" t="n"/>
      <c r="AU37" s="482" t="n"/>
      <c r="AV37" s="482" t="n"/>
      <c r="AW37" s="482" t="n"/>
      <c r="AX37" s="482" t="n"/>
      <c r="AY37" s="482" t="n"/>
      <c r="AZ37" s="482" t="n"/>
    </row>
    <row r="38" hidden="1" ht="15" customHeight="1" s="418">
      <c r="A38" s="569" t="n"/>
      <c r="B38" s="543" t="n"/>
      <c r="C38" s="543" t="n"/>
      <c r="D38" s="556" t="n"/>
      <c r="E38" s="556" t="n"/>
      <c r="F38" s="556" t="n"/>
      <c r="G38" s="544" t="n"/>
      <c r="H38" s="544" t="n"/>
      <c r="I38" s="544" t="n"/>
      <c r="J38" s="609" t="n"/>
      <c r="K38" s="564" t="n"/>
      <c r="L38" s="564" t="n"/>
      <c r="M38" s="564" t="n"/>
      <c r="N38" s="235">
        <f>I38-K38-M38</f>
        <v/>
      </c>
      <c r="O38" s="617" t="n"/>
      <c r="P38" s="597" t="n"/>
      <c r="Q38" s="593" t="n"/>
      <c r="R38" s="448" t="n"/>
      <c r="S38" s="618" t="n"/>
      <c r="T38" s="550" t="n"/>
      <c r="U38" s="241" t="n"/>
      <c r="V38" s="482" t="n"/>
      <c r="W38" s="482" t="n"/>
      <c r="X38" s="482" t="n"/>
      <c r="Y38" s="482" t="n"/>
      <c r="Z38" s="482" t="n"/>
      <c r="AA38" s="482" t="n"/>
      <c r="AB38" s="482" t="n"/>
      <c r="AC38" s="482" t="n"/>
      <c r="AD38" s="482" t="n"/>
      <c r="AE38" s="482" t="n"/>
      <c r="AF38" s="482" t="n"/>
      <c r="AG38" s="482" t="n"/>
      <c r="AH38" s="482" t="n"/>
      <c r="AI38" s="482" t="n"/>
      <c r="AJ38" s="482" t="n"/>
      <c r="AK38" s="482" t="n"/>
      <c r="AL38" s="482" t="n"/>
      <c r="AM38" s="482" t="n"/>
      <c r="AN38" s="482" t="n"/>
      <c r="AO38" s="482" t="n"/>
      <c r="AP38" s="482" t="n"/>
      <c r="AQ38" s="482" t="n"/>
      <c r="AR38" s="482" t="n"/>
      <c r="AS38" s="482" t="n"/>
      <c r="AT38" s="482" t="n"/>
      <c r="AU38" s="482" t="n"/>
      <c r="AV38" s="482" t="n"/>
      <c r="AW38" s="482" t="n"/>
      <c r="AX38" s="482" t="n"/>
      <c r="AY38" s="482" t="n"/>
      <c r="AZ38" s="482" t="n"/>
    </row>
    <row r="39" hidden="1" ht="15" customHeight="1" s="418">
      <c r="A39" s="569" t="n"/>
      <c r="B39" s="543" t="n"/>
      <c r="C39" s="543" t="n"/>
      <c r="D39" s="556" t="n"/>
      <c r="E39" s="556" t="n"/>
      <c r="F39" s="556" t="n"/>
      <c r="G39" s="544" t="n"/>
      <c r="H39" s="544" t="n"/>
      <c r="I39" s="544" t="n"/>
      <c r="J39" s="609" t="n"/>
      <c r="K39" s="564" t="n"/>
      <c r="L39" s="564" t="n"/>
      <c r="M39" s="564" t="n"/>
      <c r="N39" s="235">
        <f>I39-K39-M39</f>
        <v/>
      </c>
      <c r="O39" s="617" t="n"/>
      <c r="P39" s="597" t="n"/>
      <c r="Q39" s="593" t="n"/>
      <c r="R39" s="448" t="n"/>
      <c r="S39" s="618" t="n"/>
      <c r="T39" s="550" t="n"/>
      <c r="U39" s="241" t="n"/>
      <c r="V39" s="482" t="n"/>
      <c r="W39" s="482" t="n"/>
      <c r="X39" s="482" t="n"/>
      <c r="Y39" s="482" t="n"/>
      <c r="Z39" s="482" t="n"/>
      <c r="AA39" s="482" t="n"/>
      <c r="AB39" s="482" t="n"/>
      <c r="AC39" s="482" t="n"/>
      <c r="AD39" s="482" t="n"/>
      <c r="AE39" s="482" t="n"/>
      <c r="AF39" s="482" t="n"/>
      <c r="AG39" s="482" t="n"/>
      <c r="AH39" s="482" t="n"/>
      <c r="AI39" s="482" t="n"/>
      <c r="AJ39" s="482" t="n"/>
      <c r="AK39" s="482" t="n"/>
      <c r="AL39" s="482" t="n"/>
      <c r="AM39" s="482" t="n"/>
      <c r="AN39" s="482" t="n"/>
      <c r="AO39" s="482" t="n"/>
      <c r="AP39" s="482" t="n"/>
      <c r="AQ39" s="482" t="n"/>
      <c r="AR39" s="482" t="n"/>
      <c r="AS39" s="482" t="n"/>
      <c r="AT39" s="482" t="n"/>
      <c r="AU39" s="482" t="n"/>
      <c r="AV39" s="482" t="n"/>
      <c r="AW39" s="482" t="n"/>
      <c r="AX39" s="482" t="n"/>
      <c r="AY39" s="482" t="n"/>
      <c r="AZ39" s="482" t="n"/>
    </row>
    <row r="40" hidden="1" ht="13.5" customHeight="1" s="418">
      <c r="A40" s="569" t="n"/>
      <c r="B40" s="543" t="n"/>
      <c r="C40" s="543" t="n"/>
      <c r="D40" s="556" t="n"/>
      <c r="E40" s="556" t="n"/>
      <c r="F40" s="556" t="n"/>
      <c r="G40" s="544" t="n"/>
      <c r="H40" s="544" t="n"/>
      <c r="I40" s="544" t="n"/>
      <c r="J40" s="609" t="n"/>
      <c r="K40" s="564" t="n"/>
      <c r="L40" s="564" t="n"/>
      <c r="M40" s="564" t="n"/>
      <c r="N40" s="235">
        <f>I40-K40-M40</f>
        <v/>
      </c>
      <c r="P40" s="597" t="n"/>
      <c r="Q40" s="593" t="n"/>
      <c r="R40" s="448" t="n"/>
      <c r="S40" s="618" t="n"/>
    </row>
    <row r="41" hidden="1" ht="13.5" customHeight="1" s="418">
      <c r="A41" s="569" t="n"/>
      <c r="B41" s="543" t="n"/>
      <c r="C41" s="543" t="n"/>
      <c r="D41" s="556" t="n"/>
      <c r="E41" s="556" t="n"/>
      <c r="F41" s="556" t="n"/>
      <c r="G41" s="544" t="n"/>
      <c r="H41" s="544" t="n"/>
      <c r="I41" s="544" t="n"/>
      <c r="J41" s="609" t="n"/>
      <c r="K41" s="564" t="n"/>
      <c r="L41" s="564" t="n"/>
      <c r="M41" s="564" t="n"/>
      <c r="N41" s="235">
        <f>I41-K41-M41</f>
        <v/>
      </c>
      <c r="P41" s="628" t="n"/>
      <c r="Q41" s="629" t="n"/>
      <c r="R41" s="448" t="n"/>
      <c r="S41" s="480" t="n"/>
    </row>
    <row r="42" hidden="1" ht="13.5" customHeight="1" s="418">
      <c r="A42" s="569" t="n"/>
      <c r="B42" s="543" t="n"/>
      <c r="C42" s="543" t="n"/>
      <c r="D42" s="556" t="n"/>
      <c r="E42" s="556" t="n"/>
      <c r="F42" s="556" t="n"/>
      <c r="G42" s="544" t="n"/>
      <c r="H42" s="544" t="n"/>
      <c r="I42" s="544" t="n"/>
      <c r="J42" s="609" t="n"/>
      <c r="K42" s="564" t="n"/>
      <c r="L42" s="564" t="n"/>
      <c r="M42" s="564" t="n"/>
      <c r="N42" s="184">
        <f>I42-K42-M42</f>
        <v/>
      </c>
      <c r="P42" s="598" t="n"/>
      <c r="Q42" s="593" t="n"/>
      <c r="R42" s="448" t="n"/>
      <c r="S42" s="480" t="n"/>
    </row>
    <row r="43" hidden="1" ht="13.5" customHeight="1" s="418">
      <c r="A43" s="566" t="n"/>
      <c r="B43" s="630" t="n"/>
      <c r="C43" s="630" t="n"/>
      <c r="D43" s="631" t="n"/>
      <c r="E43" s="631" t="n"/>
      <c r="F43" s="631" t="n"/>
      <c r="G43" s="632" t="n"/>
      <c r="H43" s="632" t="n"/>
      <c r="I43" s="632" t="n"/>
      <c r="J43" s="609" t="n"/>
      <c r="K43" s="564" t="n"/>
      <c r="L43" s="564" t="n"/>
      <c r="M43" s="564" t="n"/>
      <c r="N43" s="184">
        <f>I43-K43-M43</f>
        <v/>
      </c>
      <c r="O43" s="617" t="n"/>
      <c r="P43" s="597" t="n"/>
      <c r="Q43" s="633" t="n"/>
      <c r="R43" s="634" t="n"/>
      <c r="S43" s="635" t="n"/>
      <c r="T43" s="558" t="n"/>
      <c r="U43" s="211" t="n"/>
      <c r="V43" s="558" t="n"/>
      <c r="W43" s="558" t="n"/>
      <c r="X43" s="558" t="n"/>
      <c r="Y43" s="558" t="n"/>
      <c r="Z43" s="558" t="n"/>
      <c r="AA43" s="558" t="n"/>
      <c r="AB43" s="558" t="n"/>
      <c r="AC43" s="558" t="n"/>
      <c r="AD43" s="558" t="n"/>
      <c r="AE43" s="558" t="n"/>
      <c r="AF43" s="558" t="n"/>
      <c r="AG43" s="558" t="n"/>
      <c r="AH43" s="558" t="n"/>
      <c r="AI43" s="558" t="n"/>
      <c r="AJ43" s="558" t="n"/>
      <c r="AK43" s="558" t="n"/>
      <c r="AL43" s="558" t="n"/>
      <c r="AM43" s="558" t="n"/>
      <c r="AN43" s="558" t="n"/>
      <c r="AO43" s="558" t="n"/>
      <c r="AP43" s="558" t="n"/>
      <c r="AQ43" s="558" t="n"/>
      <c r="AR43" s="558" t="n"/>
      <c r="AS43" s="558" t="n"/>
      <c r="AT43" s="558" t="n"/>
      <c r="AU43" s="558" t="n"/>
      <c r="AV43" s="558" t="n"/>
      <c r="AW43" s="558" t="n"/>
      <c r="AX43" s="558" t="n"/>
      <c r="AY43" s="558" t="n"/>
      <c r="AZ43" s="558" t="n"/>
    </row>
    <row r="44" hidden="1" ht="15" customHeight="1" s="418">
      <c r="A44" s="636" t="n"/>
      <c r="B44" s="637" t="n"/>
      <c r="C44" s="637" t="n"/>
      <c r="D44" s="637" t="n"/>
      <c r="E44" s="637" t="n"/>
      <c r="F44" s="637" t="n"/>
      <c r="G44" s="637" t="n"/>
      <c r="H44" s="637" t="n"/>
      <c r="I44" s="637" t="n"/>
      <c r="J44" s="637" t="n"/>
      <c r="K44" s="637" t="n"/>
      <c r="L44" s="637" t="n"/>
      <c r="M44" s="638" t="n"/>
      <c r="N44" s="208">
        <f>SUM(N34:N43)</f>
        <v/>
      </c>
      <c r="O44" s="208" t="n"/>
      <c r="P44" s="588" t="n"/>
      <c r="Q44" s="589" t="n"/>
      <c r="R44" s="589" t="n"/>
      <c r="S44" s="589" t="n"/>
      <c r="T44" s="558" t="n"/>
      <c r="U44" s="211" t="n"/>
      <c r="V44" s="558" t="n"/>
      <c r="W44" s="558" t="n"/>
      <c r="X44" s="558" t="n"/>
      <c r="Y44" s="558" t="n"/>
      <c r="Z44" s="558" t="n"/>
      <c r="AA44" s="558" t="n"/>
      <c r="AB44" s="558" t="n"/>
      <c r="AC44" s="558" t="n"/>
      <c r="AD44" s="558" t="n"/>
      <c r="AE44" s="558" t="n"/>
      <c r="AF44" s="558" t="n"/>
      <c r="AG44" s="558" t="n"/>
      <c r="AH44" s="558" t="n"/>
      <c r="AI44" s="558" t="n"/>
      <c r="AJ44" s="558" t="n"/>
      <c r="AK44" s="558" t="n"/>
      <c r="AL44" s="558" t="n"/>
      <c r="AM44" s="558" t="n"/>
      <c r="AN44" s="558" t="n"/>
      <c r="AO44" s="558" t="n"/>
      <c r="AP44" s="558" t="n"/>
      <c r="AQ44" s="558" t="n"/>
      <c r="AR44" s="558" t="n"/>
      <c r="AS44" s="558" t="n"/>
      <c r="AT44" s="558" t="n"/>
      <c r="AU44" s="558" t="n"/>
      <c r="AV44" s="558" t="n"/>
      <c r="AW44" s="558" t="n"/>
      <c r="AX44" s="558" t="n"/>
      <c r="AY44" s="558" t="n"/>
      <c r="AZ44" s="558" t="n"/>
    </row>
    <row r="45" hidden="1" ht="15" customHeight="1" s="418">
      <c r="A45" s="639" t="n"/>
      <c r="B45" s="543" t="n"/>
      <c r="C45" s="543" t="n"/>
      <c r="D45" s="556" t="n"/>
      <c r="E45" s="556" t="n"/>
      <c r="F45" s="556" t="n"/>
      <c r="G45" s="544" t="n"/>
      <c r="H45" s="544" t="n"/>
      <c r="I45" s="544" t="n"/>
      <c r="J45" s="640" t="n"/>
      <c r="K45" s="564" t="n"/>
      <c r="L45" s="641" t="n"/>
      <c r="M45" s="642" t="n"/>
      <c r="N45" s="235">
        <f>I45-K45-M45</f>
        <v/>
      </c>
      <c r="O45" s="617" t="n"/>
      <c r="P45" s="566" t="inlineStr">
        <is>
          <t>MELKARTH AGENTES ADUANEROS S.A.C.</t>
        </is>
      </c>
      <c r="Q45" s="573" t="n"/>
      <c r="R45" s="448" t="n"/>
      <c r="S45" s="593" t="n"/>
      <c r="T45" s="550" t="n"/>
      <c r="U45" s="241" t="n"/>
      <c r="V45" s="482" t="n"/>
      <c r="W45" s="482" t="n"/>
      <c r="X45" s="482" t="n"/>
      <c r="Y45" s="482" t="n"/>
      <c r="Z45" s="482" t="n"/>
      <c r="AA45" s="482" t="n"/>
      <c r="AB45" s="482" t="n"/>
      <c r="AC45" s="482" t="n"/>
      <c r="AD45" s="482" t="n"/>
      <c r="AE45" s="482" t="n"/>
      <c r="AF45" s="482" t="n"/>
      <c r="AG45" s="482" t="n"/>
      <c r="AH45" s="482" t="n"/>
      <c r="AI45" s="482" t="n"/>
      <c r="AJ45" s="482" t="n"/>
      <c r="AK45" s="482" t="n"/>
      <c r="AL45" s="482" t="n"/>
      <c r="AM45" s="482" t="n"/>
      <c r="AN45" s="482" t="n"/>
      <c r="AO45" s="482" t="n"/>
      <c r="AP45" s="482" t="n"/>
      <c r="AQ45" s="482" t="n"/>
      <c r="AR45" s="482" t="n"/>
      <c r="AS45" s="482" t="n"/>
      <c r="AT45" s="482" t="n"/>
      <c r="AU45" s="482" t="n"/>
      <c r="AV45" s="482" t="n"/>
      <c r="AW45" s="482" t="n"/>
      <c r="AX45" s="482" t="n"/>
      <c r="AY45" s="482" t="n"/>
      <c r="AZ45" s="482" t="n"/>
    </row>
    <row r="46" hidden="1" ht="15" customHeight="1" s="418">
      <c r="A46" s="566" t="n"/>
      <c r="B46" s="543" t="n"/>
      <c r="C46" s="543" t="n"/>
      <c r="D46" s="556" t="n"/>
      <c r="E46" s="556" t="n"/>
      <c r="F46" s="556" t="n"/>
      <c r="G46" s="544" t="n"/>
      <c r="H46" s="643" t="n"/>
      <c r="I46" s="544" t="n"/>
      <c r="J46" s="640" t="n"/>
      <c r="K46" s="564" t="n"/>
      <c r="L46" s="644" t="n"/>
      <c r="M46" s="564" t="n"/>
      <c r="N46" s="235">
        <f>I46-K46-M46</f>
        <v/>
      </c>
      <c r="O46" s="617" t="n"/>
      <c r="P46" s="598" t="n"/>
      <c r="Q46" s="573" t="n"/>
      <c r="R46" s="448" t="n"/>
      <c r="S46" s="593" t="n"/>
      <c r="T46" s="550" t="n"/>
      <c r="U46" s="241" t="n"/>
      <c r="V46" s="482" t="n"/>
      <c r="W46" s="482" t="n"/>
      <c r="X46" s="482" t="n"/>
      <c r="Y46" s="482" t="n"/>
      <c r="Z46" s="482" t="n"/>
      <c r="AA46" s="482" t="n"/>
      <c r="AB46" s="482" t="n"/>
      <c r="AC46" s="482" t="n"/>
      <c r="AD46" s="482" t="n"/>
      <c r="AE46" s="482" t="n"/>
      <c r="AF46" s="482" t="n"/>
      <c r="AG46" s="482" t="n"/>
      <c r="AH46" s="482" t="n"/>
      <c r="AI46" s="482" t="n"/>
      <c r="AJ46" s="482" t="n"/>
      <c r="AK46" s="482" t="n"/>
      <c r="AL46" s="482" t="n"/>
      <c r="AM46" s="482" t="n"/>
      <c r="AN46" s="482" t="n"/>
      <c r="AO46" s="482" t="n"/>
      <c r="AP46" s="482" t="n"/>
      <c r="AQ46" s="482" t="n"/>
      <c r="AR46" s="482" t="n"/>
      <c r="AS46" s="482" t="n"/>
      <c r="AT46" s="482" t="n"/>
      <c r="AU46" s="482" t="n"/>
      <c r="AV46" s="482" t="n"/>
      <c r="AW46" s="482" t="n"/>
      <c r="AX46" s="482" t="n"/>
      <c r="AY46" s="482" t="n"/>
      <c r="AZ46" s="482" t="n"/>
    </row>
    <row r="47" hidden="1" ht="15" customHeight="1" s="418">
      <c r="A47" s="645" t="n"/>
      <c r="B47" s="606" t="n"/>
      <c r="C47" s="606" t="n"/>
      <c r="D47" s="607" t="n"/>
      <c r="E47" s="607" t="n"/>
      <c r="F47" s="607" t="n"/>
      <c r="G47" s="608" t="n"/>
      <c r="H47" s="608" t="n"/>
      <c r="I47" s="608" t="n"/>
      <c r="J47" s="640" t="n"/>
      <c r="K47" s="564" t="n"/>
      <c r="L47" s="644" t="n"/>
      <c r="M47" s="564" t="n"/>
      <c r="N47" s="235">
        <f>I47-K47-M47</f>
        <v/>
      </c>
      <c r="O47" s="617" t="n"/>
      <c r="P47" s="598" t="n"/>
      <c r="Q47" s="573" t="n"/>
      <c r="R47" s="448" t="n"/>
      <c r="S47" s="593" t="n"/>
      <c r="T47" s="550" t="n"/>
      <c r="U47" s="241" t="n"/>
      <c r="V47" s="482" t="n"/>
      <c r="W47" s="482" t="n"/>
      <c r="X47" s="482" t="n"/>
      <c r="Y47" s="482" t="n"/>
      <c r="Z47" s="482" t="n"/>
      <c r="AA47" s="482" t="n"/>
      <c r="AB47" s="482" t="n"/>
      <c r="AC47" s="482" t="n"/>
      <c r="AD47" s="482" t="n"/>
      <c r="AE47" s="482" t="n"/>
      <c r="AF47" s="482" t="n"/>
      <c r="AG47" s="482" t="n"/>
      <c r="AH47" s="482" t="n"/>
      <c r="AI47" s="482" t="n"/>
      <c r="AJ47" s="482" t="n"/>
      <c r="AK47" s="482" t="n"/>
      <c r="AL47" s="482" t="n"/>
      <c r="AM47" s="482" t="n"/>
      <c r="AN47" s="482" t="n"/>
      <c r="AO47" s="482" t="n"/>
      <c r="AP47" s="482" t="n"/>
      <c r="AQ47" s="482" t="n"/>
      <c r="AR47" s="482" t="n"/>
      <c r="AS47" s="482" t="n"/>
      <c r="AT47" s="482" t="n"/>
      <c r="AU47" s="482" t="n"/>
      <c r="AV47" s="482" t="n"/>
      <c r="AW47" s="482" t="n"/>
      <c r="AX47" s="482" t="n"/>
      <c r="AY47" s="482" t="n"/>
      <c r="AZ47" s="482" t="n"/>
    </row>
    <row r="48" hidden="1" ht="15" customHeight="1" s="418">
      <c r="A48" s="566" t="n"/>
      <c r="B48" s="543" t="n"/>
      <c r="C48" s="543" t="n"/>
      <c r="D48" s="556" t="n"/>
      <c r="E48" s="556" t="n"/>
      <c r="F48" s="556" t="n"/>
      <c r="G48" s="544" t="n"/>
      <c r="H48" s="544" t="n"/>
      <c r="I48" s="544" t="n"/>
      <c r="J48" s="640" t="n"/>
      <c r="K48" s="564" t="n"/>
      <c r="L48" s="644" t="n"/>
      <c r="M48" s="564" t="n"/>
      <c r="N48" s="235">
        <f>I48-K48-M48</f>
        <v/>
      </c>
      <c r="O48" s="617" t="n"/>
      <c r="P48" s="566" t="n"/>
      <c r="Q48" s="573" t="n"/>
      <c r="R48" s="448" t="n"/>
      <c r="S48" s="593" t="n"/>
      <c r="T48" s="550" t="n"/>
      <c r="U48" s="241" t="n"/>
      <c r="V48" s="482" t="n"/>
      <c r="W48" s="482" t="n"/>
      <c r="X48" s="482" t="n"/>
      <c r="Y48" s="482" t="n"/>
      <c r="Z48" s="482" t="n"/>
      <c r="AA48" s="482" t="n"/>
      <c r="AB48" s="482" t="n"/>
      <c r="AC48" s="482" t="n"/>
      <c r="AD48" s="482" t="n"/>
      <c r="AE48" s="482" t="n"/>
      <c r="AF48" s="482" t="n"/>
      <c r="AG48" s="482" t="n"/>
      <c r="AH48" s="482" t="n"/>
      <c r="AI48" s="482" t="n"/>
      <c r="AJ48" s="482" t="n"/>
      <c r="AK48" s="482" t="n"/>
      <c r="AL48" s="482" t="n"/>
      <c r="AM48" s="482" t="n"/>
      <c r="AN48" s="482" t="n"/>
      <c r="AO48" s="482" t="n"/>
      <c r="AP48" s="482" t="n"/>
      <c r="AQ48" s="482" t="n"/>
      <c r="AR48" s="482" t="n"/>
      <c r="AS48" s="482" t="n"/>
      <c r="AT48" s="482" t="n"/>
      <c r="AU48" s="482" t="n"/>
      <c r="AV48" s="482" t="n"/>
      <c r="AW48" s="482" t="n"/>
      <c r="AX48" s="482" t="n"/>
      <c r="AY48" s="482" t="n"/>
      <c r="AZ48" s="482" t="n"/>
    </row>
    <row r="49" hidden="1" ht="15" customHeight="1" s="418">
      <c r="A49" s="566" t="n"/>
      <c r="B49" s="543" t="n"/>
      <c r="C49" s="543" t="n"/>
      <c r="D49" s="556" t="n"/>
      <c r="E49" s="556" t="n"/>
      <c r="F49" s="556" t="n"/>
      <c r="G49" s="544" t="n"/>
      <c r="H49" s="544" t="n"/>
      <c r="I49" s="544" t="n"/>
      <c r="J49" s="640" t="n"/>
      <c r="K49" s="564" t="n"/>
      <c r="L49" s="644" t="n"/>
      <c r="M49" s="564" t="n"/>
      <c r="N49" s="235">
        <f>I49-K49-M49</f>
        <v/>
      </c>
      <c r="O49" s="617" t="n"/>
      <c r="P49" s="566" t="n"/>
      <c r="Q49" s="573" t="n"/>
      <c r="R49" s="448" t="n"/>
      <c r="S49" s="593" t="n"/>
      <c r="T49" s="550" t="n"/>
      <c r="U49" s="241" t="n"/>
      <c r="V49" s="482" t="n"/>
      <c r="W49" s="482" t="n"/>
      <c r="X49" s="482" t="n"/>
      <c r="Y49" s="482" t="n"/>
      <c r="Z49" s="482" t="n"/>
      <c r="AA49" s="482" t="n"/>
      <c r="AB49" s="482" t="n"/>
      <c r="AC49" s="482" t="n"/>
      <c r="AD49" s="482" t="n"/>
      <c r="AE49" s="482" t="n"/>
      <c r="AF49" s="482" t="n"/>
      <c r="AG49" s="482" t="n"/>
      <c r="AH49" s="482" t="n"/>
      <c r="AI49" s="482" t="n"/>
      <c r="AJ49" s="482" t="n"/>
      <c r="AK49" s="482" t="n"/>
      <c r="AL49" s="482" t="n"/>
      <c r="AM49" s="482" t="n"/>
      <c r="AN49" s="482" t="n"/>
      <c r="AO49" s="482" t="n"/>
      <c r="AP49" s="482" t="n"/>
      <c r="AQ49" s="482" t="n"/>
      <c r="AR49" s="482" t="n"/>
      <c r="AS49" s="482" t="n"/>
      <c r="AT49" s="482" t="n"/>
      <c r="AU49" s="482" t="n"/>
      <c r="AV49" s="482" t="n"/>
      <c r="AW49" s="482" t="n"/>
      <c r="AX49" s="482" t="n"/>
      <c r="AY49" s="482" t="n"/>
      <c r="AZ49" s="482" t="n"/>
    </row>
    <row r="50" hidden="1" ht="15" customHeight="1" s="418">
      <c r="A50" s="566" t="n"/>
      <c r="B50" s="543" t="n"/>
      <c r="C50" s="543" t="n"/>
      <c r="D50" s="556" t="n"/>
      <c r="E50" s="556" t="n"/>
      <c r="F50" s="556" t="n"/>
      <c r="G50" s="544" t="n"/>
      <c r="H50" s="544" t="n"/>
      <c r="I50" s="544" t="n"/>
      <c r="J50" s="640" t="n"/>
      <c r="K50" s="564" t="n"/>
      <c r="L50" s="644" t="n"/>
      <c r="M50" s="564" t="n"/>
      <c r="N50" s="235">
        <f>I50-K50-M50</f>
        <v/>
      </c>
      <c r="O50" s="617" t="n"/>
      <c r="P50" s="566" t="n"/>
      <c r="Q50" s="573" t="n"/>
      <c r="R50" s="448" t="n"/>
      <c r="S50" s="593" t="n"/>
      <c r="T50" s="550" t="n"/>
      <c r="U50" s="241" t="n"/>
      <c r="V50" s="482" t="n"/>
      <c r="W50" s="482" t="n"/>
      <c r="X50" s="482" t="n"/>
      <c r="Y50" s="482" t="n"/>
      <c r="Z50" s="482" t="n"/>
      <c r="AA50" s="482" t="n"/>
      <c r="AB50" s="482" t="n"/>
      <c r="AC50" s="482" t="n"/>
      <c r="AD50" s="482" t="n"/>
      <c r="AE50" s="482" t="n"/>
      <c r="AF50" s="482" t="n"/>
      <c r="AG50" s="482" t="n"/>
      <c r="AH50" s="482" t="n"/>
      <c r="AI50" s="482" t="n"/>
      <c r="AJ50" s="482" t="n"/>
      <c r="AK50" s="482" t="n"/>
      <c r="AL50" s="482" t="n"/>
      <c r="AM50" s="482" t="n"/>
      <c r="AN50" s="482" t="n"/>
      <c r="AO50" s="482" t="n"/>
      <c r="AP50" s="482" t="n"/>
      <c r="AQ50" s="482" t="n"/>
      <c r="AR50" s="482" t="n"/>
      <c r="AS50" s="482" t="n"/>
      <c r="AT50" s="482" t="n"/>
      <c r="AU50" s="482" t="n"/>
      <c r="AV50" s="482" t="n"/>
      <c r="AW50" s="482" t="n"/>
      <c r="AX50" s="482" t="n"/>
      <c r="AY50" s="482" t="n"/>
      <c r="AZ50" s="482" t="n"/>
    </row>
    <row r="51" hidden="1" ht="15" customHeight="1" s="418">
      <c r="A51" s="566" t="n"/>
      <c r="B51" s="543" t="n"/>
      <c r="C51" s="543" t="n"/>
      <c r="D51" s="556" t="n"/>
      <c r="E51" s="556" t="n"/>
      <c r="F51" s="556" t="n"/>
      <c r="G51" s="544" t="n"/>
      <c r="H51" s="544" t="n"/>
      <c r="I51" s="544" t="n"/>
      <c r="J51" s="640" t="n"/>
      <c r="K51" s="564" t="n"/>
      <c r="L51" s="644" t="n"/>
      <c r="M51" s="564" t="n"/>
      <c r="N51" s="235">
        <f>I51-K51-M51</f>
        <v/>
      </c>
      <c r="O51" s="617" t="n"/>
      <c r="P51" s="566" t="n"/>
      <c r="Q51" s="573" t="n"/>
      <c r="R51" s="448" t="n"/>
      <c r="S51" s="593" t="n"/>
      <c r="T51" s="550" t="n"/>
      <c r="U51" s="241" t="n"/>
      <c r="V51" s="482" t="n"/>
      <c r="W51" s="482" t="n"/>
      <c r="X51" s="482" t="n"/>
      <c r="Y51" s="482" t="n"/>
      <c r="Z51" s="482" t="n"/>
      <c r="AA51" s="482" t="n"/>
      <c r="AB51" s="482" t="n"/>
      <c r="AC51" s="482" t="n"/>
      <c r="AD51" s="482" t="n"/>
      <c r="AE51" s="482" t="n"/>
      <c r="AF51" s="482" t="n"/>
      <c r="AG51" s="482" t="n"/>
      <c r="AH51" s="482" t="n"/>
      <c r="AI51" s="482" t="n"/>
      <c r="AJ51" s="482" t="n"/>
      <c r="AK51" s="482" t="n"/>
      <c r="AL51" s="482" t="n"/>
      <c r="AM51" s="482" t="n"/>
      <c r="AN51" s="482" t="n"/>
      <c r="AO51" s="482" t="n"/>
      <c r="AP51" s="482" t="n"/>
      <c r="AQ51" s="482" t="n"/>
      <c r="AR51" s="482" t="n"/>
      <c r="AS51" s="482" t="n"/>
      <c r="AT51" s="482" t="n"/>
      <c r="AU51" s="482" t="n"/>
      <c r="AV51" s="482" t="n"/>
      <c r="AW51" s="482" t="n"/>
      <c r="AX51" s="482" t="n"/>
      <c r="AY51" s="482" t="n"/>
      <c r="AZ51" s="482" t="n"/>
    </row>
    <row r="52" hidden="1" ht="15" customHeight="1" s="418">
      <c r="A52" s="566" t="n"/>
      <c r="B52" s="543" t="n"/>
      <c r="C52" s="543" t="n"/>
      <c r="D52" s="556" t="n"/>
      <c r="E52" s="556" t="n"/>
      <c r="F52" s="556" t="n"/>
      <c r="G52" s="544" t="n"/>
      <c r="H52" s="544" t="n"/>
      <c r="I52" s="544" t="n"/>
      <c r="J52" s="640" t="n"/>
      <c r="K52" s="564" t="n"/>
      <c r="L52" s="644" t="n"/>
      <c r="M52" s="564" t="n"/>
      <c r="N52" s="235">
        <f>I52-K52-M52</f>
        <v/>
      </c>
      <c r="O52" s="617" t="n"/>
      <c r="P52" s="566" t="n"/>
      <c r="Q52" s="573" t="n"/>
      <c r="R52" s="448" t="n"/>
      <c r="S52" s="593" t="n"/>
      <c r="T52" s="550" t="n"/>
      <c r="U52" s="241" t="n"/>
      <c r="V52" s="482" t="n"/>
      <c r="W52" s="482" t="n"/>
      <c r="X52" s="482" t="n"/>
      <c r="Y52" s="482" t="n"/>
      <c r="Z52" s="482" t="n"/>
      <c r="AA52" s="482" t="n"/>
      <c r="AB52" s="482" t="n"/>
      <c r="AC52" s="482" t="n"/>
      <c r="AD52" s="482" t="n"/>
      <c r="AE52" s="482" t="n"/>
      <c r="AF52" s="482" t="n"/>
      <c r="AG52" s="482" t="n"/>
      <c r="AH52" s="482" t="n"/>
      <c r="AI52" s="482" t="n"/>
      <c r="AJ52" s="482" t="n"/>
      <c r="AK52" s="482" t="n"/>
      <c r="AL52" s="482" t="n"/>
      <c r="AM52" s="482" t="n"/>
      <c r="AN52" s="482" t="n"/>
      <c r="AO52" s="482" t="n"/>
      <c r="AP52" s="482" t="n"/>
      <c r="AQ52" s="482" t="n"/>
      <c r="AR52" s="482" t="n"/>
      <c r="AS52" s="482" t="n"/>
      <c r="AT52" s="482" t="n"/>
      <c r="AU52" s="482" t="n"/>
      <c r="AV52" s="482" t="n"/>
      <c r="AW52" s="482" t="n"/>
      <c r="AX52" s="482" t="n"/>
      <c r="AY52" s="482" t="n"/>
      <c r="AZ52" s="482" t="n"/>
    </row>
    <row r="53" hidden="1" ht="15" customHeight="1" s="418">
      <c r="A53" s="566" t="n"/>
      <c r="B53" s="543" t="n"/>
      <c r="C53" s="543" t="n"/>
      <c r="D53" s="556" t="n"/>
      <c r="E53" s="556" t="n"/>
      <c r="F53" s="556" t="n"/>
      <c r="G53" s="544" t="n"/>
      <c r="H53" s="544" t="n"/>
      <c r="I53" s="544" t="n"/>
      <c r="J53" s="640" t="n"/>
      <c r="K53" s="564" t="n"/>
      <c r="L53" s="644" t="n"/>
      <c r="M53" s="564" t="n"/>
      <c r="N53" s="235">
        <f>I53-K53-M53</f>
        <v/>
      </c>
      <c r="O53" s="617" t="n"/>
      <c r="P53" s="566" t="n"/>
      <c r="Q53" s="573" t="n"/>
      <c r="R53" s="448" t="n"/>
      <c r="S53" s="593" t="n"/>
      <c r="T53" s="550" t="n"/>
      <c r="U53" s="241" t="n"/>
      <c r="V53" s="482" t="n"/>
      <c r="W53" s="482" t="n"/>
      <c r="X53" s="482" t="n"/>
      <c r="Y53" s="482" t="n"/>
      <c r="Z53" s="482" t="n"/>
      <c r="AA53" s="482" t="n"/>
      <c r="AB53" s="482" t="n"/>
      <c r="AC53" s="482" t="n"/>
      <c r="AD53" s="482" t="n"/>
      <c r="AE53" s="482" t="n"/>
      <c r="AF53" s="482" t="n"/>
      <c r="AG53" s="482" t="n"/>
      <c r="AH53" s="482" t="n"/>
      <c r="AI53" s="482" t="n"/>
      <c r="AJ53" s="482" t="n"/>
      <c r="AK53" s="482" t="n"/>
      <c r="AL53" s="482" t="n"/>
      <c r="AM53" s="482" t="n"/>
      <c r="AN53" s="482" t="n"/>
      <c r="AO53" s="482" t="n"/>
      <c r="AP53" s="482" t="n"/>
      <c r="AQ53" s="482" t="n"/>
      <c r="AR53" s="482" t="n"/>
      <c r="AS53" s="482" t="n"/>
      <c r="AT53" s="482" t="n"/>
      <c r="AU53" s="482" t="n"/>
      <c r="AV53" s="482" t="n"/>
      <c r="AW53" s="482" t="n"/>
      <c r="AX53" s="482" t="n"/>
      <c r="AY53" s="482" t="n"/>
      <c r="AZ53" s="482" t="n"/>
    </row>
    <row r="54" hidden="1" ht="15" customHeight="1" s="418">
      <c r="A54" s="646" t="n"/>
      <c r="B54" s="543" t="n"/>
      <c r="C54" s="543" t="n"/>
      <c r="D54" s="556" t="n"/>
      <c r="E54" s="556" t="n"/>
      <c r="F54" s="556" t="n"/>
      <c r="G54" s="544" t="n"/>
      <c r="H54" s="544" t="n"/>
      <c r="I54" s="544" t="n"/>
      <c r="J54" s="640" t="n"/>
      <c r="K54" s="564" t="n"/>
      <c r="L54" s="644" t="n"/>
      <c r="M54" s="564" t="n"/>
      <c r="N54" s="235">
        <f>I54-K54-M54</f>
        <v/>
      </c>
      <c r="O54" s="617" t="n"/>
      <c r="P54" s="566" t="n"/>
      <c r="Q54" s="573" t="n"/>
      <c r="R54" s="448" t="n"/>
      <c r="S54" s="593" t="n"/>
      <c r="T54" s="550" t="n"/>
      <c r="U54" s="241" t="n"/>
      <c r="V54" s="482" t="n"/>
      <c r="W54" s="482" t="n"/>
      <c r="X54" s="482" t="n"/>
      <c r="Y54" s="482" t="n"/>
      <c r="Z54" s="482" t="n"/>
      <c r="AA54" s="482" t="n"/>
      <c r="AB54" s="482" t="n"/>
      <c r="AC54" s="482" t="n"/>
      <c r="AD54" s="482" t="n"/>
      <c r="AE54" s="482" t="n"/>
      <c r="AF54" s="482" t="n"/>
      <c r="AG54" s="482" t="n"/>
      <c r="AH54" s="482" t="n"/>
      <c r="AI54" s="482" t="n"/>
      <c r="AJ54" s="482" t="n"/>
      <c r="AK54" s="482" t="n"/>
      <c r="AL54" s="482" t="n"/>
      <c r="AM54" s="482" t="n"/>
      <c r="AN54" s="482" t="n"/>
      <c r="AO54" s="482" t="n"/>
      <c r="AP54" s="482" t="n"/>
      <c r="AQ54" s="482" t="n"/>
      <c r="AR54" s="482" t="n"/>
      <c r="AS54" s="482" t="n"/>
      <c r="AT54" s="482" t="n"/>
      <c r="AU54" s="482" t="n"/>
      <c r="AV54" s="482" t="n"/>
      <c r="AW54" s="482" t="n"/>
      <c r="AX54" s="482" t="n"/>
      <c r="AY54" s="482" t="n"/>
      <c r="AZ54" s="482" t="n"/>
    </row>
    <row r="55" hidden="1" ht="15" customHeight="1" s="418">
      <c r="A55" s="647" t="n"/>
      <c r="B55" s="648" t="n"/>
      <c r="C55" s="648" t="n"/>
      <c r="D55" s="648" t="n"/>
      <c r="E55" s="648" t="n"/>
      <c r="F55" s="648" t="n"/>
      <c r="G55" s="648" t="n"/>
      <c r="H55" s="648" t="n"/>
      <c r="I55" s="648" t="n"/>
      <c r="J55" s="648" t="n"/>
      <c r="K55" s="648" t="n"/>
      <c r="L55" s="648" t="n"/>
      <c r="M55" s="649" t="n"/>
      <c r="N55" s="208">
        <f>SUM(N45:O54)</f>
        <v/>
      </c>
      <c r="O55" s="650" t="n"/>
      <c r="P55" s="651" t="n"/>
      <c r="Q55" s="589" t="n"/>
      <c r="R55" s="652" t="n"/>
      <c r="S55" s="589" t="n"/>
      <c r="T55" s="558" t="n"/>
      <c r="U55" s="211" t="n"/>
      <c r="V55" s="558" t="n"/>
      <c r="W55" s="558" t="n"/>
      <c r="X55" s="558" t="n"/>
      <c r="Y55" s="558" t="n"/>
      <c r="Z55" s="558" t="n"/>
      <c r="AA55" s="558" t="n"/>
      <c r="AB55" s="558" t="n"/>
      <c r="AC55" s="558" t="n"/>
      <c r="AD55" s="558" t="n"/>
      <c r="AE55" s="558" t="n"/>
      <c r="AF55" s="558" t="n"/>
      <c r="AG55" s="558" t="n"/>
      <c r="AH55" s="558" t="n"/>
      <c r="AI55" s="558" t="n"/>
      <c r="AJ55" s="558" t="n"/>
      <c r="AK55" s="558" t="n"/>
      <c r="AL55" s="558" t="n"/>
      <c r="AM55" s="558" t="n"/>
      <c r="AN55" s="558" t="n"/>
      <c r="AO55" s="558" t="n"/>
      <c r="AP55" s="558" t="n"/>
      <c r="AQ55" s="558" t="n"/>
      <c r="AR55" s="558" t="n"/>
      <c r="AS55" s="558" t="n"/>
      <c r="AT55" s="558" t="n"/>
      <c r="AU55" s="558" t="n"/>
      <c r="AV55" s="558" t="n"/>
      <c r="AW55" s="558" t="n"/>
      <c r="AX55" s="558" t="n"/>
      <c r="AY55" s="558" t="n"/>
      <c r="AZ55" s="558" t="n"/>
    </row>
    <row r="56" ht="15" customHeight="1" s="418">
      <c r="A56" s="566" t="n"/>
      <c r="B56" s="543" t="n"/>
      <c r="C56" s="543" t="n"/>
      <c r="D56" s="556" t="n"/>
      <c r="E56" s="556" t="n"/>
      <c r="F56" s="556" t="n"/>
      <c r="G56" s="544" t="n"/>
      <c r="H56" s="544" t="n"/>
      <c r="I56" s="544" t="n"/>
      <c r="J56" s="640" t="n"/>
      <c r="K56" s="564" t="n"/>
      <c r="L56" s="644" t="n"/>
      <c r="M56" s="564" t="n"/>
      <c r="N56" s="184">
        <f>I56-K56-M56</f>
        <v/>
      </c>
      <c r="O56" s="617" t="n"/>
      <c r="P56" s="566" t="n"/>
      <c r="Q56" s="629" t="n"/>
      <c r="R56" s="452" t="n"/>
      <c r="S56" s="593" t="n"/>
      <c r="T56" s="558" t="n"/>
      <c r="U56" s="211" t="n"/>
      <c r="V56" s="558" t="n"/>
      <c r="W56" s="558" t="n"/>
      <c r="X56" s="558" t="n"/>
      <c r="Y56" s="558" t="n"/>
      <c r="Z56" s="558" t="n"/>
      <c r="AA56" s="558" t="n"/>
      <c r="AB56" s="558" t="n"/>
      <c r="AC56" s="558" t="n"/>
      <c r="AD56" s="558" t="n"/>
      <c r="AE56" s="558" t="n"/>
      <c r="AF56" s="558" t="n"/>
      <c r="AG56" s="558" t="n"/>
      <c r="AH56" s="558" t="n"/>
      <c r="AI56" s="558" t="n"/>
      <c r="AJ56" s="558" t="n"/>
      <c r="AK56" s="558" t="n"/>
      <c r="AL56" s="558" t="n"/>
      <c r="AM56" s="558" t="n"/>
      <c r="AN56" s="558" t="n"/>
      <c r="AO56" s="558" t="n"/>
      <c r="AP56" s="558" t="n"/>
      <c r="AQ56" s="558" t="n"/>
      <c r="AR56" s="558" t="n"/>
      <c r="AS56" s="558" t="n"/>
      <c r="AT56" s="558" t="n"/>
      <c r="AU56" s="558" t="n"/>
      <c r="AV56" s="558" t="n"/>
      <c r="AW56" s="558" t="n"/>
      <c r="AX56" s="558" t="n"/>
      <c r="AY56" s="558" t="n"/>
      <c r="AZ56" s="558" t="n"/>
    </row>
    <row r="57" ht="15" customHeight="1" s="418">
      <c r="A57" s="566" t="n"/>
      <c r="B57" s="543" t="n"/>
      <c r="C57" s="543" t="n"/>
      <c r="D57" s="556" t="n"/>
      <c r="E57" s="556" t="n"/>
      <c r="F57" s="556" t="n"/>
      <c r="G57" s="544" t="n"/>
      <c r="H57" s="544" t="n"/>
      <c r="I57" s="544" t="n"/>
      <c r="J57" s="640" t="n"/>
      <c r="K57" s="564" t="n"/>
      <c r="L57" s="644" t="n"/>
      <c r="M57" s="564" t="n"/>
      <c r="N57" s="184">
        <f>I57-K57-M57</f>
        <v/>
      </c>
      <c r="O57" s="617" t="n"/>
      <c r="P57" s="628" t="n"/>
      <c r="Q57" s="629" t="n"/>
      <c r="R57" s="452" t="n"/>
      <c r="S57" s="593" t="n"/>
      <c r="T57" s="558" t="n"/>
      <c r="U57" s="211" t="n"/>
      <c r="V57" s="558" t="n"/>
      <c r="W57" s="558" t="n"/>
      <c r="X57" s="558" t="n"/>
      <c r="Y57" s="558" t="n"/>
      <c r="Z57" s="558" t="n"/>
      <c r="AA57" s="558" t="n"/>
      <c r="AB57" s="558" t="n"/>
      <c r="AC57" s="558" t="n"/>
      <c r="AD57" s="558" t="n"/>
      <c r="AE57" s="558" t="n"/>
      <c r="AF57" s="558" t="n"/>
      <c r="AG57" s="558" t="n"/>
      <c r="AH57" s="558" t="n"/>
      <c r="AI57" s="558" t="n"/>
      <c r="AJ57" s="558" t="n"/>
      <c r="AK57" s="558" t="n"/>
      <c r="AL57" s="558" t="n"/>
      <c r="AM57" s="558" t="n"/>
      <c r="AN57" s="558" t="n"/>
      <c r="AO57" s="558" t="n"/>
      <c r="AP57" s="558" t="n"/>
      <c r="AQ57" s="558" t="n"/>
      <c r="AR57" s="558" t="n"/>
      <c r="AS57" s="558" t="n"/>
      <c r="AT57" s="558" t="n"/>
      <c r="AU57" s="558" t="n"/>
      <c r="AV57" s="558" t="n"/>
      <c r="AW57" s="558" t="n"/>
      <c r="AX57" s="558" t="n"/>
      <c r="AY57" s="558" t="n"/>
      <c r="AZ57" s="558" t="n"/>
    </row>
    <row r="58" ht="15" customHeight="1" s="418">
      <c r="A58" s="566" t="n"/>
      <c r="B58" s="543" t="n"/>
      <c r="C58" s="543" t="n"/>
      <c r="D58" s="556" t="n"/>
      <c r="E58" s="556" t="n"/>
      <c r="F58" s="556" t="n"/>
      <c r="G58" s="544" t="n"/>
      <c r="H58" s="544" t="n"/>
      <c r="I58" s="544" t="n"/>
      <c r="J58" s="640" t="n"/>
      <c r="K58" s="564" t="n"/>
      <c r="L58" s="644" t="n"/>
      <c r="M58" s="564" t="n"/>
      <c r="N58" s="184">
        <f>I58-K58-M58</f>
        <v/>
      </c>
      <c r="O58" s="617" t="n"/>
      <c r="P58" s="628" t="n"/>
      <c r="Q58" s="629" t="n"/>
      <c r="R58" s="634" t="n"/>
      <c r="S58" s="593" t="n"/>
      <c r="T58" s="558" t="n"/>
      <c r="U58" s="211" t="n"/>
      <c r="V58" s="558" t="n"/>
      <c r="W58" s="558" t="n"/>
      <c r="X58" s="558" t="n"/>
      <c r="Y58" s="558" t="n"/>
      <c r="Z58" s="558" t="n"/>
      <c r="AA58" s="558" t="n"/>
      <c r="AB58" s="558" t="n"/>
      <c r="AC58" s="558" t="n"/>
      <c r="AD58" s="558" t="n"/>
      <c r="AE58" s="558" t="n"/>
      <c r="AF58" s="558" t="n"/>
      <c r="AG58" s="558" t="n"/>
      <c r="AH58" s="558" t="n"/>
      <c r="AI58" s="558" t="n"/>
      <c r="AJ58" s="558" t="n"/>
      <c r="AK58" s="558" t="n"/>
      <c r="AL58" s="558" t="n"/>
      <c r="AM58" s="558" t="n"/>
      <c r="AN58" s="558" t="n"/>
      <c r="AO58" s="558" t="n"/>
      <c r="AP58" s="558" t="n"/>
      <c r="AQ58" s="558" t="n"/>
      <c r="AR58" s="558" t="n"/>
      <c r="AS58" s="558" t="n"/>
      <c r="AT58" s="558" t="n"/>
      <c r="AU58" s="558" t="n"/>
      <c r="AV58" s="558" t="n"/>
      <c r="AW58" s="558" t="n"/>
      <c r="AX58" s="558" t="n"/>
      <c r="AY58" s="558" t="n"/>
      <c r="AZ58" s="558" t="n"/>
    </row>
    <row r="59" ht="15" customHeight="1" s="418">
      <c r="A59" s="566" t="n"/>
      <c r="B59" s="543" t="n"/>
      <c r="C59" s="543" t="n"/>
      <c r="D59" s="556" t="n"/>
      <c r="E59" s="556" t="n"/>
      <c r="F59" s="556" t="n"/>
      <c r="G59" s="544" t="n"/>
      <c r="H59" s="544" t="n"/>
      <c r="I59" s="544" t="n"/>
      <c r="J59" s="640" t="n"/>
      <c r="K59" s="564" t="n"/>
      <c r="L59" s="644" t="n"/>
      <c r="M59" s="564" t="n"/>
      <c r="N59" s="184">
        <f>I59-K59-M59</f>
        <v/>
      </c>
      <c r="O59" s="617" t="n"/>
      <c r="P59" s="628" t="n"/>
      <c r="Q59" s="629" t="n"/>
      <c r="R59" s="634" t="n"/>
      <c r="S59" s="593" t="n"/>
      <c r="T59" s="558" t="n"/>
      <c r="U59" s="211" t="n"/>
      <c r="V59" s="558" t="n"/>
      <c r="W59" s="558" t="n"/>
      <c r="X59" s="558" t="n"/>
      <c r="Y59" s="558" t="n"/>
      <c r="Z59" s="558" t="n"/>
      <c r="AA59" s="558" t="n"/>
      <c r="AB59" s="558" t="n"/>
      <c r="AC59" s="558" t="n"/>
      <c r="AD59" s="558" t="n"/>
      <c r="AE59" s="558" t="n"/>
      <c r="AF59" s="558" t="n"/>
      <c r="AG59" s="558" t="n"/>
      <c r="AH59" s="558" t="n"/>
      <c r="AI59" s="558" t="n"/>
      <c r="AJ59" s="558" t="n"/>
      <c r="AK59" s="558" t="n"/>
      <c r="AL59" s="558" t="n"/>
      <c r="AM59" s="558" t="n"/>
      <c r="AN59" s="558" t="n"/>
      <c r="AO59" s="558" t="n"/>
      <c r="AP59" s="558" t="n"/>
      <c r="AQ59" s="558" t="n"/>
      <c r="AR59" s="558" t="n"/>
      <c r="AS59" s="558" t="n"/>
      <c r="AT59" s="558" t="n"/>
      <c r="AU59" s="558" t="n"/>
      <c r="AV59" s="558" t="n"/>
      <c r="AW59" s="558" t="n"/>
      <c r="AX59" s="558" t="n"/>
      <c r="AY59" s="558" t="n"/>
      <c r="AZ59" s="558" t="n"/>
    </row>
    <row r="60" ht="15" customHeight="1" s="418">
      <c r="A60" s="566" t="n"/>
      <c r="B60" s="543" t="n"/>
      <c r="C60" s="543" t="n"/>
      <c r="D60" s="556" t="n"/>
      <c r="E60" s="556" t="n"/>
      <c r="F60" s="556" t="n"/>
      <c r="G60" s="544" t="n"/>
      <c r="H60" s="544" t="n"/>
      <c r="I60" s="544" t="n"/>
      <c r="J60" s="640" t="n"/>
      <c r="K60" s="564" t="n"/>
      <c r="L60" s="644" t="n"/>
      <c r="M60" s="564" t="n"/>
      <c r="N60" s="184">
        <f>I60-K60-M60</f>
        <v/>
      </c>
      <c r="O60" s="617" t="n"/>
      <c r="P60" s="628" t="n"/>
      <c r="Q60" s="629" t="n"/>
      <c r="R60" s="634" t="n"/>
      <c r="S60" s="593" t="n"/>
      <c r="T60" s="558" t="n"/>
      <c r="U60" s="211" t="n"/>
      <c r="V60" s="558" t="n"/>
      <c r="W60" s="558" t="n"/>
      <c r="X60" s="558" t="n"/>
      <c r="Y60" s="558" t="n"/>
      <c r="Z60" s="558" t="n"/>
      <c r="AA60" s="558" t="n"/>
      <c r="AB60" s="558" t="n"/>
      <c r="AC60" s="558" t="n"/>
      <c r="AD60" s="558" t="n"/>
      <c r="AE60" s="558" t="n"/>
      <c r="AF60" s="558" t="n"/>
      <c r="AG60" s="558" t="n"/>
      <c r="AH60" s="558" t="n"/>
      <c r="AI60" s="558" t="n"/>
      <c r="AJ60" s="558" t="n"/>
      <c r="AK60" s="558" t="n"/>
      <c r="AL60" s="558" t="n"/>
      <c r="AM60" s="558" t="n"/>
      <c r="AN60" s="558" t="n"/>
      <c r="AO60" s="558" t="n"/>
      <c r="AP60" s="558" t="n"/>
      <c r="AQ60" s="558" t="n"/>
      <c r="AR60" s="558" t="n"/>
      <c r="AS60" s="558" t="n"/>
      <c r="AT60" s="558" t="n"/>
      <c r="AU60" s="558" t="n"/>
      <c r="AV60" s="558" t="n"/>
      <c r="AW60" s="558" t="n"/>
      <c r="AX60" s="558" t="n"/>
      <c r="AY60" s="558" t="n"/>
      <c r="AZ60" s="558" t="n"/>
    </row>
    <row r="61" ht="15" customHeight="1" s="418">
      <c r="A61" s="566" t="n"/>
      <c r="B61" s="543" t="n"/>
      <c r="C61" s="543" t="n"/>
      <c r="D61" s="556" t="n"/>
      <c r="E61" s="556" t="n"/>
      <c r="F61" s="556" t="n"/>
      <c r="G61" s="544" t="n"/>
      <c r="H61" s="544" t="n"/>
      <c r="I61" s="544" t="n"/>
      <c r="J61" s="640" t="n"/>
      <c r="K61" s="564" t="n"/>
      <c r="L61" s="644" t="n"/>
      <c r="M61" s="564" t="n"/>
      <c r="N61" s="184">
        <f>I61-K61-M61</f>
        <v/>
      </c>
      <c r="O61" s="617" t="n"/>
      <c r="P61" s="628" t="n"/>
      <c r="Q61" s="629" t="n"/>
      <c r="R61" s="634" t="n"/>
      <c r="S61" s="593" t="n"/>
      <c r="T61" s="558" t="n"/>
      <c r="U61" s="211" t="n"/>
      <c r="V61" s="558" t="n"/>
      <c r="W61" s="558" t="n"/>
      <c r="X61" s="558" t="n"/>
      <c r="Y61" s="558" t="n"/>
      <c r="Z61" s="558" t="n"/>
      <c r="AA61" s="558" t="n"/>
      <c r="AB61" s="558" t="n"/>
      <c r="AC61" s="558" t="n"/>
      <c r="AD61" s="558" t="n"/>
      <c r="AE61" s="558" t="n"/>
      <c r="AF61" s="558" t="n"/>
      <c r="AG61" s="558" t="n"/>
      <c r="AH61" s="558" t="n"/>
      <c r="AI61" s="558" t="n"/>
      <c r="AJ61" s="558" t="n"/>
      <c r="AK61" s="558" t="n"/>
      <c r="AL61" s="558" t="n"/>
      <c r="AM61" s="558" t="n"/>
      <c r="AN61" s="558" t="n"/>
      <c r="AO61" s="558" t="n"/>
      <c r="AP61" s="558" t="n"/>
      <c r="AQ61" s="558" t="n"/>
      <c r="AR61" s="558" t="n"/>
      <c r="AS61" s="558" t="n"/>
      <c r="AT61" s="558" t="n"/>
      <c r="AU61" s="558" t="n"/>
      <c r="AV61" s="558" t="n"/>
      <c r="AW61" s="558" t="n"/>
      <c r="AX61" s="558" t="n"/>
      <c r="AY61" s="558" t="n"/>
      <c r="AZ61" s="558" t="n"/>
    </row>
    <row r="62" ht="15" customHeight="1" s="418">
      <c r="A62" s="566" t="n"/>
      <c r="B62" s="543" t="n"/>
      <c r="C62" s="543" t="n"/>
      <c r="D62" s="556" t="n"/>
      <c r="E62" s="556" t="n"/>
      <c r="F62" s="556" t="n"/>
      <c r="G62" s="544" t="n"/>
      <c r="H62" s="544" t="n"/>
      <c r="I62" s="544" t="n"/>
      <c r="J62" s="640" t="n"/>
      <c r="K62" s="564" t="n"/>
      <c r="L62" s="644" t="n"/>
      <c r="M62" s="564" t="n"/>
      <c r="N62" s="184">
        <f>I62-K62-M62</f>
        <v/>
      </c>
      <c r="O62" s="617" t="n"/>
      <c r="P62" s="628" t="n"/>
      <c r="Q62" s="629" t="n"/>
      <c r="R62" s="634" t="n"/>
      <c r="S62" s="593" t="n"/>
      <c r="T62" s="558" t="n"/>
      <c r="U62" s="211" t="n"/>
      <c r="V62" s="558" t="n"/>
      <c r="W62" s="558" t="n"/>
      <c r="X62" s="558" t="n"/>
      <c r="Y62" s="558" t="n"/>
      <c r="Z62" s="558" t="n"/>
      <c r="AA62" s="558" t="n"/>
      <c r="AB62" s="558" t="n"/>
      <c r="AC62" s="558" t="n"/>
      <c r="AD62" s="558" t="n"/>
      <c r="AE62" s="558" t="n"/>
      <c r="AF62" s="558" t="n"/>
      <c r="AG62" s="558" t="n"/>
      <c r="AH62" s="558" t="n"/>
      <c r="AI62" s="558" t="n"/>
      <c r="AJ62" s="558" t="n"/>
      <c r="AK62" s="558" t="n"/>
      <c r="AL62" s="558" t="n"/>
      <c r="AM62" s="558" t="n"/>
      <c r="AN62" s="558" t="n"/>
      <c r="AO62" s="558" t="n"/>
      <c r="AP62" s="558" t="n"/>
      <c r="AQ62" s="558" t="n"/>
      <c r="AR62" s="558" t="n"/>
      <c r="AS62" s="558" t="n"/>
      <c r="AT62" s="558" t="n"/>
      <c r="AU62" s="558" t="n"/>
      <c r="AV62" s="558" t="n"/>
      <c r="AW62" s="558" t="n"/>
      <c r="AX62" s="558" t="n"/>
      <c r="AY62" s="558" t="n"/>
      <c r="AZ62" s="558" t="n"/>
    </row>
    <row r="63" ht="15" customHeight="1" s="418">
      <c r="A63" s="566" t="n"/>
      <c r="B63" s="543" t="n"/>
      <c r="C63" s="543" t="n"/>
      <c r="D63" s="556" t="n"/>
      <c r="E63" s="556" t="n"/>
      <c r="F63" s="556" t="n"/>
      <c r="G63" s="544" t="n"/>
      <c r="H63" s="544" t="n"/>
      <c r="I63" s="544" t="n"/>
      <c r="J63" s="640" t="n"/>
      <c r="K63" s="564" t="n"/>
      <c r="L63" s="644" t="n"/>
      <c r="M63" s="564" t="n"/>
      <c r="N63" s="276">
        <f>I63-K63-M63</f>
        <v/>
      </c>
      <c r="O63" s="617" t="n"/>
      <c r="P63" s="628" t="n"/>
      <c r="Q63" s="629" t="n"/>
      <c r="R63" s="634" t="n"/>
      <c r="S63" s="593" t="n"/>
      <c r="T63" s="558" t="n"/>
      <c r="U63" s="211" t="n"/>
      <c r="V63" s="558" t="n"/>
      <c r="W63" s="558" t="n"/>
      <c r="X63" s="558" t="n"/>
      <c r="Y63" s="558" t="n"/>
      <c r="Z63" s="558" t="n"/>
      <c r="AA63" s="558" t="n"/>
      <c r="AB63" s="558" t="n"/>
      <c r="AC63" s="558" t="n"/>
      <c r="AD63" s="558" t="n"/>
      <c r="AE63" s="558" t="n"/>
      <c r="AF63" s="558" t="n"/>
      <c r="AG63" s="558" t="n"/>
      <c r="AH63" s="558" t="n"/>
      <c r="AI63" s="558" t="n"/>
      <c r="AJ63" s="558" t="n"/>
      <c r="AK63" s="558" t="n"/>
      <c r="AL63" s="558" t="n"/>
      <c r="AM63" s="558" t="n"/>
      <c r="AN63" s="558" t="n"/>
      <c r="AO63" s="558" t="n"/>
      <c r="AP63" s="558" t="n"/>
      <c r="AQ63" s="558" t="n"/>
      <c r="AR63" s="558" t="n"/>
      <c r="AS63" s="558" t="n"/>
      <c r="AT63" s="558" t="n"/>
      <c r="AU63" s="558" t="n"/>
      <c r="AV63" s="558" t="n"/>
      <c r="AW63" s="558" t="n"/>
      <c r="AX63" s="558" t="n"/>
      <c r="AY63" s="558" t="n"/>
      <c r="AZ63" s="558" t="n"/>
    </row>
    <row r="64" hidden="1" ht="15" customHeight="1" s="418">
      <c r="A64" s="566" t="n"/>
      <c r="B64" s="543" t="n"/>
      <c r="C64" s="543" t="n"/>
      <c r="D64" s="556" t="n"/>
      <c r="E64" s="556" t="n"/>
      <c r="F64" s="556" t="n"/>
      <c r="G64" s="544" t="n"/>
      <c r="H64" s="544" t="n"/>
      <c r="I64" s="544" t="n"/>
      <c r="J64" s="640" t="n"/>
      <c r="K64" s="564" t="n"/>
      <c r="L64" s="644" t="n"/>
      <c r="M64" s="564" t="n"/>
      <c r="N64" s="235">
        <f>I64-K64-M64</f>
        <v/>
      </c>
      <c r="O64" s="617" t="n"/>
      <c r="P64" s="628" t="n"/>
      <c r="Q64" s="629" t="n"/>
      <c r="R64" s="634" t="n"/>
      <c r="S64" s="593" t="n"/>
      <c r="T64" s="558" t="n"/>
      <c r="U64" s="211" t="n"/>
      <c r="V64" s="558" t="n"/>
      <c r="W64" s="558" t="n"/>
      <c r="X64" s="558" t="n"/>
      <c r="Y64" s="558" t="n"/>
      <c r="Z64" s="558" t="n"/>
      <c r="AA64" s="558" t="n"/>
      <c r="AB64" s="558" t="n"/>
      <c r="AC64" s="558" t="n"/>
      <c r="AD64" s="558" t="n"/>
      <c r="AE64" s="558" t="n"/>
      <c r="AF64" s="558" t="n"/>
      <c r="AG64" s="558" t="n"/>
      <c r="AH64" s="558" t="n"/>
      <c r="AI64" s="558" t="n"/>
      <c r="AJ64" s="558" t="n"/>
      <c r="AK64" s="558" t="n"/>
      <c r="AL64" s="558" t="n"/>
      <c r="AM64" s="558" t="n"/>
      <c r="AN64" s="558" t="n"/>
      <c r="AO64" s="558" t="n"/>
      <c r="AP64" s="558" t="n"/>
      <c r="AQ64" s="558" t="n"/>
      <c r="AR64" s="558" t="n"/>
      <c r="AS64" s="558" t="n"/>
      <c r="AT64" s="558" t="n"/>
      <c r="AU64" s="558" t="n"/>
      <c r="AV64" s="558" t="n"/>
      <c r="AW64" s="558" t="n"/>
      <c r="AX64" s="558" t="n"/>
      <c r="AY64" s="558" t="n"/>
      <c r="AZ64" s="558" t="n"/>
    </row>
    <row r="65" hidden="1" ht="15" customHeight="1" s="418">
      <c r="A65" s="566" t="n"/>
      <c r="B65" s="543" t="n"/>
      <c r="C65" s="543" t="n"/>
      <c r="D65" s="556" t="n"/>
      <c r="E65" s="556" t="n"/>
      <c r="F65" s="556" t="n"/>
      <c r="G65" s="544" t="n"/>
      <c r="H65" s="544" t="n"/>
      <c r="I65" s="544" t="n"/>
      <c r="J65" s="640" t="n"/>
      <c r="K65" s="564" t="n"/>
      <c r="L65" s="644" t="n"/>
      <c r="M65" s="564" t="n"/>
      <c r="N65" s="235">
        <f>I65-K65-M65</f>
        <v/>
      </c>
      <c r="O65" s="617" t="n"/>
      <c r="P65" s="628" t="n"/>
      <c r="Q65" s="629" t="n"/>
      <c r="R65" s="634" t="n"/>
      <c r="S65" s="593" t="n"/>
      <c r="T65" s="558" t="n"/>
      <c r="U65" s="211" t="n"/>
      <c r="V65" s="558" t="n"/>
      <c r="W65" s="558" t="n"/>
      <c r="X65" s="558" t="n"/>
      <c r="Y65" s="558" t="n"/>
      <c r="Z65" s="558" t="n"/>
      <c r="AA65" s="558" t="n"/>
      <c r="AB65" s="558" t="n"/>
      <c r="AC65" s="558" t="n"/>
      <c r="AD65" s="558" t="n"/>
      <c r="AE65" s="558" t="n"/>
      <c r="AF65" s="558" t="n"/>
      <c r="AG65" s="558" t="n"/>
      <c r="AH65" s="558" t="n"/>
      <c r="AI65" s="558" t="n"/>
      <c r="AJ65" s="558" t="n"/>
      <c r="AK65" s="558" t="n"/>
      <c r="AL65" s="558" t="n"/>
      <c r="AM65" s="558" t="n"/>
      <c r="AN65" s="558" t="n"/>
      <c r="AO65" s="558" t="n"/>
      <c r="AP65" s="558" t="n"/>
      <c r="AQ65" s="558" t="n"/>
      <c r="AR65" s="558" t="n"/>
      <c r="AS65" s="558" t="n"/>
      <c r="AT65" s="558" t="n"/>
      <c r="AU65" s="558" t="n"/>
      <c r="AV65" s="558" t="n"/>
      <c r="AW65" s="558" t="n"/>
      <c r="AX65" s="558" t="n"/>
      <c r="AY65" s="558" t="n"/>
      <c r="AZ65" s="558" t="n"/>
    </row>
    <row r="66" ht="15" customHeight="1" s="418">
      <c r="A66" s="587" t="n"/>
      <c r="B66" s="486" t="n"/>
      <c r="C66" s="486" t="n"/>
      <c r="D66" s="486" t="n"/>
      <c r="E66" s="486" t="n"/>
      <c r="F66" s="486" t="n"/>
      <c r="G66" s="486" t="n"/>
      <c r="H66" s="486" t="n"/>
      <c r="I66" s="486" t="n"/>
      <c r="J66" s="486" t="n"/>
      <c r="K66" s="486" t="n"/>
      <c r="L66" s="486" t="n"/>
      <c r="M66" s="487" t="n"/>
      <c r="N66" s="208">
        <f>SUM(N56:N65)</f>
        <v/>
      </c>
      <c r="O66" s="650" t="n"/>
      <c r="P66" s="588" t="n"/>
      <c r="Q66" s="589" t="n"/>
      <c r="R66" s="589" t="n"/>
      <c r="S66" s="589" t="n"/>
      <c r="T66" s="558" t="n"/>
      <c r="U66" s="211" t="n"/>
      <c r="V66" s="558" t="n"/>
      <c r="W66" s="558" t="n"/>
      <c r="X66" s="558" t="n"/>
      <c r="Y66" s="558" t="n"/>
      <c r="Z66" s="558" t="n"/>
      <c r="AA66" s="558" t="n"/>
      <c r="AB66" s="558" t="n"/>
      <c r="AC66" s="558" t="n"/>
      <c r="AD66" s="558" t="n"/>
      <c r="AE66" s="558" t="n"/>
      <c r="AF66" s="558" t="n"/>
      <c r="AG66" s="558" t="n"/>
      <c r="AH66" s="558" t="n"/>
      <c r="AI66" s="558" t="n"/>
      <c r="AJ66" s="558" t="n"/>
      <c r="AK66" s="558" t="n"/>
      <c r="AL66" s="558" t="n"/>
      <c r="AM66" s="558" t="n"/>
      <c r="AN66" s="558" t="n"/>
      <c r="AO66" s="558" t="n"/>
      <c r="AP66" s="558" t="n"/>
      <c r="AQ66" s="558" t="n"/>
      <c r="AR66" s="558" t="n"/>
      <c r="AS66" s="558" t="n"/>
      <c r="AT66" s="558" t="n"/>
      <c r="AU66" s="558" t="n"/>
      <c r="AV66" s="558" t="n"/>
      <c r="AW66" s="558" t="n"/>
      <c r="AX66" s="558" t="n"/>
      <c r="AY66" s="558" t="n"/>
      <c r="AZ66" s="558" t="n"/>
    </row>
    <row r="67" ht="15" customHeight="1" s="418">
      <c r="A67" s="569" t="n"/>
      <c r="B67" s="543" t="n"/>
      <c r="C67" s="543" t="n"/>
      <c r="D67" s="556" t="n"/>
      <c r="E67" s="556" t="n"/>
      <c r="F67" s="556" t="n"/>
      <c r="G67" s="544" t="n"/>
      <c r="H67" s="544" t="n"/>
      <c r="I67" s="544" t="n"/>
      <c r="J67" s="653" t="n"/>
      <c r="K67" s="654" t="n"/>
      <c r="L67" s="654" t="n"/>
      <c r="M67" s="654" t="n"/>
      <c r="N67" s="184">
        <f>I67-K67-M67</f>
        <v/>
      </c>
      <c r="O67" s="617" t="n"/>
      <c r="P67" s="566" t="n"/>
      <c r="Q67" s="593" t="n"/>
      <c r="R67" s="593" t="n"/>
      <c r="S67" s="593" t="n"/>
      <c r="T67" s="550" t="n"/>
      <c r="U67" s="241" t="n"/>
      <c r="V67" s="482" t="n"/>
      <c r="W67" s="482" t="n"/>
      <c r="X67" s="482" t="n"/>
      <c r="Y67" s="482" t="n"/>
      <c r="Z67" s="482" t="n"/>
      <c r="AA67" s="482" t="n"/>
      <c r="AB67" s="482" t="n"/>
      <c r="AC67" s="482" t="n"/>
      <c r="AD67" s="482" t="n"/>
      <c r="AE67" s="482" t="n"/>
      <c r="AF67" s="482" t="n"/>
      <c r="AG67" s="482" t="n"/>
      <c r="AH67" s="482" t="n"/>
      <c r="AI67" s="482" t="n"/>
      <c r="AJ67" s="482" t="n"/>
      <c r="AK67" s="482" t="n"/>
      <c r="AL67" s="482" t="n"/>
      <c r="AM67" s="482" t="n"/>
      <c r="AN67" s="482" t="n"/>
      <c r="AO67" s="482" t="n"/>
      <c r="AP67" s="482" t="n"/>
      <c r="AQ67" s="482" t="n"/>
      <c r="AR67" s="482" t="n"/>
      <c r="AS67" s="482" t="n"/>
      <c r="AT67" s="482" t="n"/>
      <c r="AU67" s="482" t="n"/>
      <c r="AV67" s="482" t="n"/>
      <c r="AW67" s="482" t="n"/>
      <c r="AX67" s="482" t="n"/>
      <c r="AY67" s="482" t="n"/>
      <c r="AZ67" s="482" t="n"/>
    </row>
    <row r="68" ht="15" customHeight="1" s="418">
      <c r="A68" s="569" t="n"/>
      <c r="B68" s="543" t="n"/>
      <c r="C68" s="543" t="n"/>
      <c r="D68" s="556" t="n"/>
      <c r="E68" s="556" t="n"/>
      <c r="F68" s="556" t="n"/>
      <c r="G68" s="544" t="n"/>
      <c r="H68" s="544" t="n"/>
      <c r="I68" s="544" t="n"/>
      <c r="J68" s="653" t="n"/>
      <c r="K68" s="654" t="n"/>
      <c r="L68" s="654" t="n"/>
      <c r="M68" s="654" t="n"/>
      <c r="N68" s="184">
        <f>I68-K68-M68</f>
        <v/>
      </c>
      <c r="O68" s="617" t="n"/>
      <c r="P68" s="655" t="n"/>
      <c r="Q68" s="593" t="n"/>
      <c r="R68" s="593" t="n"/>
      <c r="S68" s="593" t="n"/>
      <c r="T68" s="550" t="n"/>
      <c r="U68" s="241" t="n"/>
      <c r="V68" s="482" t="n"/>
      <c r="W68" s="482" t="n"/>
      <c r="X68" s="482" t="n"/>
      <c r="Y68" s="482" t="n"/>
      <c r="Z68" s="482" t="n"/>
      <c r="AA68" s="482" t="n"/>
      <c r="AB68" s="482" t="n"/>
      <c r="AC68" s="482" t="n"/>
      <c r="AD68" s="482" t="n"/>
      <c r="AE68" s="482" t="n"/>
      <c r="AF68" s="482" t="n"/>
      <c r="AG68" s="482" t="n"/>
      <c r="AH68" s="482" t="n"/>
      <c r="AI68" s="482" t="n"/>
      <c r="AJ68" s="482" t="n"/>
      <c r="AK68" s="482" t="n"/>
      <c r="AL68" s="482" t="n"/>
      <c r="AM68" s="482" t="n"/>
      <c r="AN68" s="482" t="n"/>
      <c r="AO68" s="482" t="n"/>
      <c r="AP68" s="482" t="n"/>
      <c r="AQ68" s="482" t="n"/>
      <c r="AR68" s="482" t="n"/>
      <c r="AS68" s="482" t="n"/>
      <c r="AT68" s="482" t="n"/>
      <c r="AU68" s="482" t="n"/>
      <c r="AV68" s="482" t="n"/>
      <c r="AW68" s="482" t="n"/>
      <c r="AX68" s="482" t="n"/>
      <c r="AY68" s="482" t="n"/>
      <c r="AZ68" s="482" t="n"/>
    </row>
    <row r="69" ht="15" customHeight="1" s="418">
      <c r="A69" s="569" t="n"/>
      <c r="B69" s="543" t="n"/>
      <c r="C69" s="543" t="n"/>
      <c r="D69" s="556" t="n"/>
      <c r="E69" s="556" t="n"/>
      <c r="F69" s="556" t="n"/>
      <c r="G69" s="544" t="n"/>
      <c r="H69" s="544" t="n"/>
      <c r="I69" s="544" t="n"/>
      <c r="J69" s="653" t="n"/>
      <c r="K69" s="654" t="n"/>
      <c r="L69" s="654" t="n"/>
      <c r="M69" s="654" t="n"/>
      <c r="N69" s="184">
        <f>I69-K69-M69</f>
        <v/>
      </c>
      <c r="O69" s="617" t="n"/>
      <c r="P69" s="655" t="n"/>
      <c r="Q69" s="593" t="n"/>
      <c r="R69" s="593" t="n"/>
      <c r="S69" s="593" t="n"/>
      <c r="T69" s="558" t="n"/>
      <c r="U69" s="211" t="n"/>
      <c r="V69" s="558" t="n"/>
      <c r="W69" s="558" t="n"/>
      <c r="X69" s="558" t="n"/>
      <c r="Y69" s="558" t="n"/>
      <c r="Z69" s="558" t="n"/>
      <c r="AA69" s="558" t="n"/>
      <c r="AB69" s="558" t="n"/>
      <c r="AC69" s="558" t="n"/>
      <c r="AD69" s="558" t="n"/>
      <c r="AE69" s="558" t="n"/>
      <c r="AF69" s="558" t="n"/>
      <c r="AG69" s="558" t="n"/>
      <c r="AH69" s="558" t="n"/>
      <c r="AI69" s="558" t="n"/>
      <c r="AJ69" s="558" t="n"/>
      <c r="AK69" s="558" t="n"/>
      <c r="AL69" s="558" t="n"/>
      <c r="AM69" s="558" t="n"/>
      <c r="AN69" s="558" t="n"/>
      <c r="AO69" s="558" t="n"/>
      <c r="AP69" s="558" t="n"/>
      <c r="AQ69" s="558" t="n"/>
      <c r="AR69" s="558" t="n"/>
      <c r="AS69" s="558" t="n"/>
      <c r="AT69" s="558" t="n"/>
      <c r="AU69" s="558" t="n"/>
      <c r="AV69" s="558" t="n"/>
      <c r="AW69" s="558" t="n"/>
      <c r="AX69" s="558" t="n"/>
      <c r="AY69" s="558" t="n"/>
      <c r="AZ69" s="558" t="n"/>
    </row>
    <row r="70" ht="15" customHeight="1" s="418">
      <c r="A70" s="569" t="n"/>
      <c r="B70" s="543" t="n"/>
      <c r="C70" s="543" t="n"/>
      <c r="D70" s="556" t="n"/>
      <c r="E70" s="556" t="n"/>
      <c r="F70" s="556" t="n"/>
      <c r="G70" s="544" t="n"/>
      <c r="H70" s="544" t="n"/>
      <c r="I70" s="544" t="n"/>
      <c r="J70" s="653" t="n"/>
      <c r="K70" s="654" t="n"/>
      <c r="L70" s="654" t="n"/>
      <c r="M70" s="654" t="n"/>
      <c r="N70" s="184">
        <f>I70-K70-M70</f>
        <v/>
      </c>
      <c r="O70" s="617" t="n"/>
      <c r="P70" s="655" t="n"/>
      <c r="Q70" s="593" t="n"/>
      <c r="R70" s="593" t="n"/>
      <c r="S70" s="593" t="n"/>
      <c r="T70" s="550" t="n"/>
      <c r="U70" s="241" t="n"/>
      <c r="V70" s="482" t="n"/>
      <c r="W70" s="482" t="n"/>
      <c r="X70" s="482" t="n"/>
      <c r="Y70" s="482" t="n"/>
      <c r="Z70" s="482" t="n"/>
      <c r="AA70" s="482" t="n"/>
      <c r="AB70" s="482" t="n"/>
      <c r="AC70" s="482" t="n"/>
      <c r="AD70" s="482" t="n"/>
      <c r="AE70" s="482" t="n"/>
      <c r="AF70" s="482" t="n"/>
      <c r="AG70" s="482" t="n"/>
      <c r="AH70" s="482" t="n"/>
      <c r="AI70" s="482" t="n"/>
      <c r="AJ70" s="482" t="n"/>
      <c r="AK70" s="482" t="n"/>
      <c r="AL70" s="482" t="n"/>
      <c r="AM70" s="482" t="n"/>
      <c r="AN70" s="482" t="n"/>
      <c r="AO70" s="482" t="n"/>
      <c r="AP70" s="482" t="n"/>
      <c r="AQ70" s="482" t="n"/>
      <c r="AR70" s="482" t="n"/>
      <c r="AS70" s="482" t="n"/>
      <c r="AT70" s="482" t="n"/>
      <c r="AU70" s="482" t="n"/>
      <c r="AV70" s="482" t="n"/>
      <c r="AW70" s="482" t="n"/>
      <c r="AX70" s="482" t="n"/>
      <c r="AY70" s="482" t="n"/>
      <c r="AZ70" s="482" t="n"/>
    </row>
    <row r="71" ht="15" customHeight="1" s="418">
      <c r="A71" s="569" t="n"/>
      <c r="B71" s="543" t="n"/>
      <c r="C71" s="543" t="n"/>
      <c r="D71" s="556" t="n"/>
      <c r="E71" s="556" t="n"/>
      <c r="F71" s="556" t="n"/>
      <c r="G71" s="544" t="n"/>
      <c r="H71" s="544" t="n"/>
      <c r="I71" s="544" t="n"/>
      <c r="J71" s="653" t="n"/>
      <c r="K71" s="654" t="n"/>
      <c r="L71" s="654" t="n"/>
      <c r="M71" s="654" t="n"/>
      <c r="N71" s="184">
        <f>I71-K71-M71</f>
        <v/>
      </c>
      <c r="O71" s="617" t="n"/>
      <c r="P71" s="655" t="n"/>
      <c r="Q71" s="593" t="n"/>
      <c r="R71" s="593" t="n"/>
      <c r="S71" s="593" t="n"/>
      <c r="T71" s="558" t="n"/>
      <c r="U71" s="211" t="n"/>
      <c r="V71" s="558" t="n"/>
      <c r="W71" s="558" t="n"/>
      <c r="X71" s="558" t="n"/>
      <c r="Y71" s="558" t="n"/>
      <c r="Z71" s="558" t="n"/>
      <c r="AA71" s="558" t="n"/>
      <c r="AB71" s="558" t="n"/>
      <c r="AC71" s="558" t="n"/>
      <c r="AD71" s="558" t="n"/>
      <c r="AE71" s="558" t="n"/>
      <c r="AF71" s="558" t="n"/>
      <c r="AG71" s="558" t="n"/>
      <c r="AH71" s="558" t="n"/>
      <c r="AI71" s="558" t="n"/>
      <c r="AJ71" s="558" t="n"/>
      <c r="AK71" s="558" t="n"/>
      <c r="AL71" s="558" t="n"/>
      <c r="AM71" s="558" t="n"/>
      <c r="AN71" s="558" t="n"/>
      <c r="AO71" s="558" t="n"/>
      <c r="AP71" s="558" t="n"/>
      <c r="AQ71" s="558" t="n"/>
      <c r="AR71" s="558" t="n"/>
      <c r="AS71" s="558" t="n"/>
      <c r="AT71" s="558" t="n"/>
      <c r="AU71" s="558" t="n"/>
      <c r="AV71" s="558" t="n"/>
      <c r="AW71" s="558" t="n"/>
      <c r="AX71" s="558" t="n"/>
      <c r="AY71" s="558" t="n"/>
      <c r="AZ71" s="558" t="n"/>
    </row>
    <row r="72" ht="15" customHeight="1" s="418">
      <c r="A72" s="569" t="n"/>
      <c r="B72" s="543" t="n"/>
      <c r="C72" s="543" t="n"/>
      <c r="D72" s="556" t="n"/>
      <c r="E72" s="556" t="n"/>
      <c r="F72" s="556" t="n"/>
      <c r="G72" s="544" t="n"/>
      <c r="H72" s="544" t="n"/>
      <c r="I72" s="544" t="n"/>
      <c r="J72" s="653" t="n"/>
      <c r="K72" s="654" t="n"/>
      <c r="L72" s="654" t="n"/>
      <c r="M72" s="654" t="n"/>
      <c r="N72" s="184">
        <f>I72-K72-M72</f>
        <v/>
      </c>
      <c r="O72" s="617" t="n"/>
      <c r="P72" s="655" t="n"/>
      <c r="Q72" s="593" t="n"/>
      <c r="R72" s="593" t="n"/>
      <c r="S72" s="593" t="n"/>
      <c r="T72" s="558" t="n"/>
      <c r="U72" s="211" t="n"/>
      <c r="V72" s="558" t="n"/>
      <c r="W72" s="558" t="n"/>
      <c r="X72" s="558" t="n"/>
      <c r="Y72" s="558" t="n"/>
      <c r="Z72" s="558" t="n"/>
      <c r="AA72" s="558" t="n"/>
      <c r="AB72" s="558" t="n"/>
      <c r="AC72" s="558" t="n"/>
      <c r="AD72" s="558" t="n"/>
      <c r="AE72" s="558" t="n"/>
      <c r="AF72" s="558" t="n"/>
      <c r="AG72" s="558" t="n"/>
      <c r="AH72" s="558" t="n"/>
      <c r="AI72" s="558" t="n"/>
      <c r="AJ72" s="558" t="n"/>
      <c r="AK72" s="558" t="n"/>
      <c r="AL72" s="558" t="n"/>
      <c r="AM72" s="558" t="n"/>
      <c r="AN72" s="558" t="n"/>
      <c r="AO72" s="558" t="n"/>
      <c r="AP72" s="558" t="n"/>
      <c r="AQ72" s="558" t="n"/>
      <c r="AR72" s="558" t="n"/>
      <c r="AS72" s="558" t="n"/>
      <c r="AT72" s="558" t="n"/>
      <c r="AU72" s="558" t="n"/>
      <c r="AV72" s="558" t="n"/>
      <c r="AW72" s="558" t="n"/>
      <c r="AX72" s="558" t="n"/>
      <c r="AY72" s="558" t="n"/>
      <c r="AZ72" s="558" t="n"/>
    </row>
    <row r="73" hidden="1" ht="15" customHeight="1" s="418">
      <c r="A73" s="569" t="n"/>
      <c r="B73" s="543" t="n"/>
      <c r="C73" s="543" t="n"/>
      <c r="D73" s="556" t="n"/>
      <c r="E73" s="556" t="n"/>
      <c r="F73" s="556" t="n"/>
      <c r="G73" s="544" t="n"/>
      <c r="H73" s="544" t="n"/>
      <c r="I73" s="544" t="n"/>
      <c r="J73" s="653" t="n"/>
      <c r="K73" s="654" t="n"/>
      <c r="L73" s="654" t="n"/>
      <c r="M73" s="654" t="n"/>
      <c r="N73" s="184">
        <f>I73-K73-M73</f>
        <v/>
      </c>
      <c r="O73" s="617" t="n"/>
      <c r="P73" s="655" t="n"/>
      <c r="Q73" s="593" t="n"/>
      <c r="R73" s="593" t="n"/>
      <c r="S73" s="593" t="n"/>
      <c r="T73" s="558" t="n"/>
      <c r="U73" s="211" t="n"/>
      <c r="V73" s="558" t="n"/>
      <c r="W73" s="558" t="n"/>
      <c r="X73" s="558" t="n"/>
      <c r="Y73" s="558" t="n"/>
      <c r="Z73" s="558" t="n"/>
      <c r="AA73" s="558" t="n"/>
      <c r="AB73" s="558" t="n"/>
      <c r="AC73" s="558" t="n"/>
      <c r="AD73" s="558" t="n"/>
      <c r="AE73" s="558" t="n"/>
      <c r="AF73" s="558" t="n"/>
      <c r="AG73" s="558" t="n"/>
      <c r="AH73" s="558" t="n"/>
      <c r="AI73" s="558" t="n"/>
      <c r="AJ73" s="558" t="n"/>
      <c r="AK73" s="558" t="n"/>
      <c r="AL73" s="558" t="n"/>
      <c r="AM73" s="558" t="n"/>
      <c r="AN73" s="558" t="n"/>
      <c r="AO73" s="558" t="n"/>
      <c r="AP73" s="558" t="n"/>
      <c r="AQ73" s="558" t="n"/>
      <c r="AR73" s="558" t="n"/>
      <c r="AS73" s="558" t="n"/>
      <c r="AT73" s="558" t="n"/>
      <c r="AU73" s="558" t="n"/>
      <c r="AV73" s="558" t="n"/>
      <c r="AW73" s="558" t="n"/>
      <c r="AX73" s="558" t="n"/>
      <c r="AY73" s="558" t="n"/>
      <c r="AZ73" s="558" t="n"/>
    </row>
    <row r="74" hidden="1" ht="15" customHeight="1" s="418">
      <c r="A74" s="569" t="n"/>
      <c r="B74" s="543" t="n"/>
      <c r="C74" s="543" t="n"/>
      <c r="D74" s="556" t="n"/>
      <c r="E74" s="556" t="n"/>
      <c r="F74" s="556" t="n"/>
      <c r="G74" s="544" t="n"/>
      <c r="H74" s="544" t="n"/>
      <c r="I74" s="544" t="n"/>
      <c r="J74" s="653" t="n"/>
      <c r="K74" s="654" t="n"/>
      <c r="L74" s="654" t="n"/>
      <c r="M74" s="654" t="n"/>
      <c r="N74" s="184">
        <f>I74-K74-M74</f>
        <v/>
      </c>
      <c r="O74" s="617" t="n"/>
      <c r="P74" s="655" t="n"/>
      <c r="Q74" s="593" t="n"/>
      <c r="R74" s="593" t="n"/>
      <c r="S74" s="593" t="n"/>
      <c r="T74" s="558" t="n"/>
      <c r="U74" s="211" t="n"/>
      <c r="V74" s="558" t="n"/>
      <c r="W74" s="558" t="n"/>
      <c r="X74" s="558" t="n"/>
      <c r="Y74" s="558" t="n"/>
      <c r="Z74" s="558" t="n"/>
      <c r="AA74" s="558" t="n"/>
      <c r="AB74" s="558" t="n"/>
      <c r="AC74" s="558" t="n"/>
      <c r="AD74" s="558" t="n"/>
      <c r="AE74" s="558" t="n"/>
      <c r="AF74" s="558" t="n"/>
      <c r="AG74" s="558" t="n"/>
      <c r="AH74" s="558" t="n"/>
      <c r="AI74" s="558" t="n"/>
      <c r="AJ74" s="558" t="n"/>
      <c r="AK74" s="558" t="n"/>
      <c r="AL74" s="558" t="n"/>
      <c r="AM74" s="558" t="n"/>
      <c r="AN74" s="558" t="n"/>
      <c r="AO74" s="558" t="n"/>
      <c r="AP74" s="558" t="n"/>
      <c r="AQ74" s="558" t="n"/>
      <c r="AR74" s="558" t="n"/>
      <c r="AS74" s="558" t="n"/>
      <c r="AT74" s="558" t="n"/>
      <c r="AU74" s="558" t="n"/>
      <c r="AV74" s="558" t="n"/>
      <c r="AW74" s="558" t="n"/>
      <c r="AX74" s="558" t="n"/>
      <c r="AY74" s="558" t="n"/>
      <c r="AZ74" s="558" t="n"/>
    </row>
    <row r="75" hidden="1" ht="15" customHeight="1" s="418">
      <c r="A75" s="576" t="n"/>
      <c r="B75" s="543" t="n"/>
      <c r="C75" s="543" t="n"/>
      <c r="D75" s="556" t="n"/>
      <c r="E75" s="556" t="n"/>
      <c r="F75" s="556" t="n"/>
      <c r="G75" s="544" t="n"/>
      <c r="H75" s="544" t="n"/>
      <c r="I75" s="544" t="n"/>
      <c r="J75" s="653" t="n"/>
      <c r="K75" s="654" t="n"/>
      <c r="L75" s="654" t="n"/>
      <c r="M75" s="654" t="n"/>
      <c r="N75" s="184">
        <f>I75-K75-M75</f>
        <v/>
      </c>
      <c r="O75" s="617" t="n"/>
      <c r="P75" s="655" t="n"/>
      <c r="Q75" s="593" t="n"/>
      <c r="R75" s="593" t="n"/>
      <c r="S75" s="593" t="n"/>
      <c r="T75" s="558" t="n"/>
      <c r="U75" s="211" t="n"/>
      <c r="V75" s="558" t="n"/>
      <c r="W75" s="558" t="n"/>
      <c r="X75" s="558" t="n"/>
      <c r="Y75" s="558" t="n"/>
      <c r="Z75" s="558" t="n"/>
      <c r="AA75" s="558" t="n"/>
      <c r="AB75" s="558" t="n"/>
      <c r="AC75" s="558" t="n"/>
      <c r="AD75" s="558" t="n"/>
      <c r="AE75" s="558" t="n"/>
      <c r="AF75" s="558" t="n"/>
      <c r="AG75" s="558" t="n"/>
      <c r="AH75" s="558" t="n"/>
      <c r="AI75" s="558" t="n"/>
      <c r="AJ75" s="558" t="n"/>
      <c r="AK75" s="558" t="n"/>
      <c r="AL75" s="558" t="n"/>
      <c r="AM75" s="558" t="n"/>
      <c r="AN75" s="558" t="n"/>
      <c r="AO75" s="558" t="n"/>
      <c r="AP75" s="558" t="n"/>
      <c r="AQ75" s="558" t="n"/>
      <c r="AR75" s="558" t="n"/>
      <c r="AS75" s="558" t="n"/>
      <c r="AT75" s="558" t="n"/>
      <c r="AU75" s="558" t="n"/>
      <c r="AV75" s="558" t="n"/>
      <c r="AW75" s="558" t="n"/>
      <c r="AX75" s="558" t="n"/>
      <c r="AY75" s="558" t="n"/>
      <c r="AZ75" s="558" t="n"/>
    </row>
    <row r="76" ht="15" customHeight="1" s="418">
      <c r="A76" s="587" t="n"/>
      <c r="B76" s="486" t="n"/>
      <c r="C76" s="486" t="n"/>
      <c r="D76" s="486" t="n"/>
      <c r="E76" s="486" t="n"/>
      <c r="F76" s="486" t="n"/>
      <c r="G76" s="486" t="n"/>
      <c r="H76" s="486" t="n"/>
      <c r="I76" s="486" t="n"/>
      <c r="J76" s="486" t="n"/>
      <c r="K76" s="486" t="n"/>
      <c r="L76" s="486" t="n"/>
      <c r="M76" s="487" t="n"/>
      <c r="N76" s="208">
        <f>SUM(N67:O75)</f>
        <v/>
      </c>
      <c r="O76" s="650" t="n"/>
      <c r="P76" s="588" t="n"/>
      <c r="Q76" s="589" t="n"/>
      <c r="R76" s="589" t="n"/>
      <c r="S76" s="589" t="n"/>
      <c r="T76" s="558" t="n"/>
      <c r="U76" s="211" t="n"/>
      <c r="V76" s="558" t="n"/>
      <c r="W76" s="558" t="n"/>
      <c r="X76" s="558" t="n"/>
      <c r="Y76" s="558" t="n"/>
      <c r="Z76" s="558" t="n"/>
      <c r="AA76" s="558" t="n"/>
      <c r="AB76" s="558" t="n"/>
      <c r="AC76" s="558" t="n"/>
      <c r="AD76" s="558" t="n"/>
      <c r="AE76" s="558" t="n"/>
      <c r="AF76" s="558" t="n"/>
      <c r="AG76" s="558" t="n"/>
      <c r="AH76" s="558" t="n"/>
      <c r="AI76" s="558" t="n"/>
      <c r="AJ76" s="558" t="n"/>
      <c r="AK76" s="558" t="n"/>
      <c r="AL76" s="558" t="n"/>
      <c r="AM76" s="558" t="n"/>
      <c r="AN76" s="558" t="n"/>
      <c r="AO76" s="558" t="n"/>
      <c r="AP76" s="558" t="n"/>
      <c r="AQ76" s="558" t="n"/>
      <c r="AR76" s="558" t="n"/>
      <c r="AS76" s="558" t="n"/>
      <c r="AT76" s="558" t="n"/>
      <c r="AU76" s="558" t="n"/>
      <c r="AV76" s="558" t="n"/>
      <c r="AW76" s="558" t="n"/>
      <c r="AX76" s="558" t="n"/>
      <c r="AY76" s="558" t="n"/>
      <c r="AZ76" s="558" t="n"/>
    </row>
    <row r="77" ht="15" customHeight="1" s="418">
      <c r="A77" s="566" t="n"/>
      <c r="B77" s="543" t="n"/>
      <c r="C77" s="543" t="n"/>
      <c r="D77" s="556" t="n"/>
      <c r="E77" s="556" t="n"/>
      <c r="F77" s="556" t="n"/>
      <c r="G77" s="544" t="n"/>
      <c r="H77" s="544" t="n"/>
      <c r="I77" s="544" t="n"/>
      <c r="J77" s="653" t="n"/>
      <c r="K77" s="654" t="n"/>
      <c r="L77" s="656" t="n"/>
      <c r="M77" s="654" t="n"/>
      <c r="N77" s="184">
        <f>I77-K77-M77</f>
        <v/>
      </c>
      <c r="O77" s="617" t="n"/>
      <c r="P77" s="566" t="n"/>
      <c r="Q77" s="480" t="n"/>
      <c r="R77" s="593" t="n"/>
      <c r="S77" s="593" t="n"/>
      <c r="T77" s="550" t="n"/>
      <c r="U77" s="241" t="n"/>
      <c r="V77" s="482" t="n"/>
      <c r="W77" s="482" t="n"/>
      <c r="X77" s="482" t="n"/>
      <c r="Y77" s="482" t="n"/>
      <c r="Z77" s="482" t="n"/>
      <c r="AA77" s="482" t="n"/>
      <c r="AB77" s="482" t="n"/>
      <c r="AC77" s="482" t="n"/>
      <c r="AD77" s="482" t="n"/>
      <c r="AE77" s="482" t="n"/>
      <c r="AF77" s="482" t="n"/>
      <c r="AG77" s="482" t="n"/>
      <c r="AH77" s="482" t="n"/>
      <c r="AI77" s="482" t="n"/>
      <c r="AJ77" s="482" t="n"/>
      <c r="AK77" s="482" t="n"/>
      <c r="AL77" s="482" t="n"/>
      <c r="AM77" s="482" t="n"/>
      <c r="AN77" s="482" t="n"/>
      <c r="AO77" s="482" t="n"/>
      <c r="AP77" s="482" t="n"/>
      <c r="AQ77" s="482" t="n"/>
      <c r="AR77" s="482" t="n"/>
      <c r="AS77" s="482" t="n"/>
      <c r="AT77" s="482" t="n"/>
      <c r="AU77" s="482" t="n"/>
      <c r="AV77" s="482" t="n"/>
      <c r="AW77" s="482" t="n"/>
      <c r="AX77" s="482" t="n"/>
      <c r="AY77" s="482" t="n"/>
      <c r="AZ77" s="482" t="n"/>
    </row>
    <row r="78" ht="15" customHeight="1" s="418">
      <c r="A78" s="566" t="n"/>
      <c r="B78" s="543" t="n"/>
      <c r="C78" s="543" t="n"/>
      <c r="D78" s="556" t="n"/>
      <c r="E78" s="556" t="n"/>
      <c r="F78" s="556" t="n"/>
      <c r="G78" s="544" t="n"/>
      <c r="H78" s="544" t="n"/>
      <c r="I78" s="544" t="n"/>
      <c r="J78" s="653" t="n"/>
      <c r="K78" s="654" t="n"/>
      <c r="L78" s="654" t="n"/>
      <c r="M78" s="654" t="n"/>
      <c r="N78" s="184">
        <f>I78-K78-M78</f>
        <v/>
      </c>
      <c r="O78" s="617" t="n"/>
      <c r="P78" s="597" t="n"/>
      <c r="Q78" s="593" t="n"/>
      <c r="R78" s="593" t="n"/>
      <c r="S78" s="593" t="n"/>
      <c r="T78" s="558" t="n"/>
      <c r="U78" s="211" t="n"/>
      <c r="V78" s="558" t="n"/>
      <c r="W78" s="558" t="n"/>
      <c r="X78" s="558" t="n"/>
      <c r="Y78" s="558" t="n"/>
      <c r="Z78" s="558" t="n"/>
      <c r="AA78" s="558" t="n"/>
      <c r="AB78" s="558" t="n"/>
      <c r="AC78" s="558" t="n"/>
      <c r="AD78" s="558" t="n"/>
      <c r="AE78" s="558" t="n"/>
      <c r="AF78" s="558" t="n"/>
      <c r="AG78" s="558" t="n"/>
      <c r="AH78" s="558" t="n"/>
      <c r="AI78" s="558" t="n"/>
      <c r="AJ78" s="558" t="n"/>
      <c r="AK78" s="558" t="n"/>
      <c r="AL78" s="558" t="n"/>
      <c r="AM78" s="558" t="n"/>
      <c r="AN78" s="558" t="n"/>
      <c r="AO78" s="558" t="n"/>
      <c r="AP78" s="558" t="n"/>
      <c r="AQ78" s="558" t="n"/>
      <c r="AR78" s="558" t="n"/>
      <c r="AS78" s="558" t="n"/>
      <c r="AT78" s="558" t="n"/>
      <c r="AU78" s="558" t="n"/>
      <c r="AV78" s="558" t="n"/>
      <c r="AW78" s="558" t="n"/>
      <c r="AX78" s="558" t="n"/>
      <c r="AY78" s="558" t="n"/>
      <c r="AZ78" s="558" t="n"/>
    </row>
    <row r="79" ht="15" customFormat="1" customHeight="1" s="557">
      <c r="A79" s="566" t="n"/>
      <c r="B79" s="543" t="n"/>
      <c r="C79" s="543" t="n"/>
      <c r="D79" s="556" t="n"/>
      <c r="E79" s="556" t="n"/>
      <c r="F79" s="556" t="n"/>
      <c r="G79" s="544" t="n"/>
      <c r="H79" s="544" t="n"/>
      <c r="I79" s="544" t="n"/>
      <c r="J79" s="653" t="n"/>
      <c r="K79" s="654" t="n"/>
      <c r="L79" s="654" t="n"/>
      <c r="M79" s="654" t="n"/>
      <c r="N79" s="184">
        <f>I79-K79-M79</f>
        <v/>
      </c>
      <c r="O79" s="617" t="n"/>
      <c r="P79" s="657" t="n"/>
      <c r="R79" s="593" t="n"/>
      <c r="S79" s="593" t="n"/>
      <c r="T79" s="558" t="n"/>
      <c r="U79" s="211" t="n"/>
      <c r="V79" s="558" t="n"/>
      <c r="W79" s="558" t="n"/>
      <c r="X79" s="558" t="n"/>
      <c r="Y79" s="558" t="n"/>
      <c r="Z79" s="558" t="n"/>
      <c r="AA79" s="558" t="n"/>
      <c r="AB79" s="558" t="n"/>
      <c r="AC79" s="558" t="n"/>
      <c r="AD79" s="558" t="n"/>
      <c r="AE79" s="558" t="n"/>
      <c r="AF79" s="558" t="n"/>
      <c r="AG79" s="558" t="n"/>
      <c r="AH79" s="558" t="n"/>
      <c r="AI79" s="558" t="n"/>
      <c r="AJ79" s="558" t="n"/>
      <c r="AK79" s="558" t="n"/>
      <c r="AL79" s="558" t="n"/>
      <c r="AM79" s="558" t="n"/>
      <c r="AN79" s="558" t="n"/>
      <c r="AO79" s="558" t="n"/>
      <c r="AP79" s="558" t="n"/>
      <c r="AQ79" s="558" t="n"/>
      <c r="AR79" s="558" t="n"/>
      <c r="AS79" s="558" t="n"/>
      <c r="AT79" s="558" t="n"/>
      <c r="AU79" s="558" t="n"/>
      <c r="AV79" s="558" t="n"/>
      <c r="AW79" s="558" t="n"/>
      <c r="AX79" s="558" t="n"/>
      <c r="AY79" s="558" t="n"/>
      <c r="AZ79" s="558" t="n"/>
    </row>
    <row r="80" ht="15" customHeight="1" s="418">
      <c r="A80" s="566" t="n"/>
      <c r="B80" s="606" t="n"/>
      <c r="C80" s="606" t="n"/>
      <c r="D80" s="607" t="n"/>
      <c r="E80" s="607" t="n"/>
      <c r="F80" s="607" t="n"/>
      <c r="G80" s="608" t="n"/>
      <c r="H80" s="608" t="n"/>
      <c r="I80" s="608" t="n"/>
      <c r="J80" s="653" t="n"/>
      <c r="K80" s="654" t="n"/>
      <c r="L80" s="654" t="n"/>
      <c r="M80" s="654" t="n"/>
      <c r="N80" s="184">
        <f>I80-K80-M80</f>
        <v/>
      </c>
      <c r="O80" s="617" t="n"/>
      <c r="P80" s="543" t="n"/>
      <c r="Q80" s="566" t="n"/>
      <c r="R80" s="566" t="n"/>
      <c r="S80" s="593" t="n"/>
      <c r="T80" s="558" t="n"/>
      <c r="U80" s="211" t="n"/>
      <c r="V80" s="558" t="n"/>
      <c r="W80" s="558" t="n"/>
      <c r="X80" s="558" t="n"/>
      <c r="Y80" s="558" t="n"/>
      <c r="Z80" s="558" t="n"/>
      <c r="AA80" s="558" t="n"/>
      <c r="AB80" s="558" t="n"/>
      <c r="AC80" s="558" t="n"/>
      <c r="AD80" s="558" t="n"/>
      <c r="AE80" s="558" t="n"/>
      <c r="AF80" s="558" t="n"/>
      <c r="AG80" s="558" t="n"/>
      <c r="AH80" s="558" t="n"/>
      <c r="AI80" s="558" t="n"/>
      <c r="AJ80" s="558" t="n"/>
      <c r="AK80" s="558" t="n"/>
      <c r="AL80" s="558" t="n"/>
      <c r="AM80" s="558" t="n"/>
      <c r="AN80" s="558" t="n"/>
      <c r="AO80" s="558" t="n"/>
      <c r="AP80" s="558" t="n"/>
      <c r="AQ80" s="558" t="n"/>
      <c r="AR80" s="558" t="n"/>
      <c r="AS80" s="558" t="n"/>
      <c r="AT80" s="558" t="n"/>
      <c r="AU80" s="558" t="n"/>
      <c r="AV80" s="558" t="n"/>
      <c r="AW80" s="558" t="n"/>
      <c r="AX80" s="558" t="n"/>
      <c r="AY80" s="558" t="n"/>
      <c r="AZ80" s="558" t="n"/>
    </row>
    <row r="81" hidden="1" ht="15" customHeight="1" s="418">
      <c r="A81" s="566" t="n"/>
      <c r="B81" s="543" t="n"/>
      <c r="C81" s="543" t="n"/>
      <c r="D81" s="556" t="n"/>
      <c r="E81" s="556" t="n"/>
      <c r="F81" s="556" t="n"/>
      <c r="G81" s="544" t="n"/>
      <c r="H81" s="544" t="n"/>
      <c r="I81" s="544" t="n"/>
      <c r="J81" s="653" t="n"/>
      <c r="K81" s="654" t="n"/>
      <c r="L81" s="654" t="n"/>
      <c r="M81" s="654" t="n"/>
      <c r="N81" s="184">
        <f>I81-K81-M81</f>
        <v/>
      </c>
      <c r="O81" s="617" t="n"/>
      <c r="P81" s="655" t="n"/>
      <c r="Q81" s="593" t="n"/>
      <c r="R81" s="593" t="n"/>
      <c r="S81" s="593" t="n"/>
      <c r="T81" s="558" t="n"/>
      <c r="U81" s="211" t="n"/>
      <c r="V81" s="558" t="n"/>
      <c r="W81" s="558" t="n"/>
      <c r="X81" s="558" t="n"/>
      <c r="Y81" s="558" t="n"/>
      <c r="Z81" s="558" t="n"/>
      <c r="AA81" s="558" t="n"/>
      <c r="AB81" s="558" t="n"/>
      <c r="AC81" s="558" t="n"/>
      <c r="AD81" s="558" t="n"/>
      <c r="AE81" s="558" t="n"/>
      <c r="AF81" s="558" t="n"/>
      <c r="AG81" s="558" t="n"/>
      <c r="AH81" s="558" t="n"/>
      <c r="AI81" s="558" t="n"/>
      <c r="AJ81" s="558" t="n"/>
      <c r="AK81" s="558" t="n"/>
      <c r="AL81" s="558" t="n"/>
      <c r="AM81" s="558" t="n"/>
      <c r="AN81" s="558" t="n"/>
      <c r="AO81" s="558" t="n"/>
      <c r="AP81" s="558" t="n"/>
      <c r="AQ81" s="558" t="n"/>
      <c r="AR81" s="558" t="n"/>
      <c r="AS81" s="558" t="n"/>
      <c r="AT81" s="558" t="n"/>
      <c r="AU81" s="558" t="n"/>
      <c r="AV81" s="558" t="n"/>
      <c r="AW81" s="558" t="n"/>
      <c r="AX81" s="558" t="n"/>
      <c r="AY81" s="558" t="n"/>
      <c r="AZ81" s="558" t="n"/>
    </row>
    <row r="82" hidden="1" ht="15" customHeight="1" s="418">
      <c r="A82" s="566" t="n"/>
      <c r="B82" s="543" t="n"/>
      <c r="C82" s="543" t="n"/>
      <c r="D82" s="556" t="n"/>
      <c r="E82" s="556" t="n"/>
      <c r="F82" s="556" t="n"/>
      <c r="G82" s="544" t="n"/>
      <c r="H82" s="544" t="n"/>
      <c r="I82" s="544" t="n"/>
      <c r="J82" s="653" t="n"/>
      <c r="K82" s="654" t="n"/>
      <c r="L82" s="654" t="n"/>
      <c r="M82" s="654" t="n"/>
      <c r="N82" s="184">
        <f>I82-K82-M82</f>
        <v/>
      </c>
      <c r="O82" s="617" t="n"/>
      <c r="P82" s="655" t="n"/>
      <c r="Q82" s="593" t="n"/>
      <c r="R82" s="593" t="n"/>
      <c r="S82" s="593" t="n"/>
      <c r="T82" s="558" t="n"/>
      <c r="U82" s="211" t="n"/>
      <c r="V82" s="558" t="n"/>
      <c r="W82" s="558" t="n"/>
      <c r="X82" s="558" t="n"/>
      <c r="Y82" s="558" t="n"/>
      <c r="Z82" s="558" t="n"/>
      <c r="AA82" s="558" t="n"/>
      <c r="AB82" s="558" t="n"/>
      <c r="AC82" s="558" t="n"/>
      <c r="AD82" s="558" t="n"/>
      <c r="AE82" s="558" t="n"/>
      <c r="AF82" s="558" t="n"/>
      <c r="AG82" s="558" t="n"/>
      <c r="AH82" s="558" t="n"/>
      <c r="AI82" s="558" t="n"/>
      <c r="AJ82" s="558" t="n"/>
      <c r="AK82" s="558" t="n"/>
      <c r="AL82" s="558" t="n"/>
      <c r="AM82" s="558" t="n"/>
      <c r="AN82" s="558" t="n"/>
      <c r="AO82" s="558" t="n"/>
      <c r="AP82" s="558" t="n"/>
      <c r="AQ82" s="558" t="n"/>
      <c r="AR82" s="558" t="n"/>
      <c r="AS82" s="558" t="n"/>
      <c r="AT82" s="558" t="n"/>
      <c r="AU82" s="558" t="n"/>
      <c r="AV82" s="558" t="n"/>
      <c r="AW82" s="558" t="n"/>
      <c r="AX82" s="558" t="n"/>
      <c r="AY82" s="558" t="n"/>
      <c r="AZ82" s="558" t="n"/>
    </row>
    <row r="83" hidden="1" ht="15" customHeight="1" s="418">
      <c r="A83" s="566" t="n"/>
      <c r="B83" s="543" t="n"/>
      <c r="C83" s="543" t="n"/>
      <c r="D83" s="556" t="n"/>
      <c r="E83" s="556" t="n"/>
      <c r="F83" s="556" t="n"/>
      <c r="G83" s="544" t="n"/>
      <c r="H83" s="544" t="n"/>
      <c r="I83" s="544" t="n"/>
      <c r="J83" s="653" t="n"/>
      <c r="K83" s="654" t="n"/>
      <c r="L83" s="654" t="n"/>
      <c r="M83" s="654" t="n"/>
      <c r="N83" s="184">
        <f>I83-K83-M83</f>
        <v/>
      </c>
      <c r="O83" s="617" t="n"/>
      <c r="P83" s="655" t="n"/>
      <c r="Q83" s="593" t="n"/>
      <c r="R83" s="593" t="n"/>
      <c r="S83" s="593" t="n"/>
      <c r="T83" s="558" t="n"/>
      <c r="U83" s="211" t="n"/>
      <c r="V83" s="558" t="n"/>
      <c r="W83" s="558" t="n"/>
      <c r="X83" s="558" t="n"/>
      <c r="Y83" s="558" t="n"/>
      <c r="Z83" s="558" t="n"/>
      <c r="AA83" s="558" t="n"/>
      <c r="AB83" s="558" t="n"/>
      <c r="AC83" s="558" t="n"/>
      <c r="AD83" s="558" t="n"/>
      <c r="AE83" s="558" t="n"/>
      <c r="AF83" s="558" t="n"/>
      <c r="AG83" s="558" t="n"/>
      <c r="AH83" s="558" t="n"/>
      <c r="AI83" s="558" t="n"/>
      <c r="AJ83" s="558" t="n"/>
      <c r="AK83" s="558" t="n"/>
      <c r="AL83" s="558" t="n"/>
      <c r="AM83" s="558" t="n"/>
      <c r="AN83" s="558" t="n"/>
      <c r="AO83" s="558" t="n"/>
      <c r="AP83" s="558" t="n"/>
      <c r="AQ83" s="558" t="n"/>
      <c r="AR83" s="558" t="n"/>
      <c r="AS83" s="558" t="n"/>
      <c r="AT83" s="558" t="n"/>
      <c r="AU83" s="558" t="n"/>
      <c r="AV83" s="558" t="n"/>
      <c r="AW83" s="558" t="n"/>
      <c r="AX83" s="558" t="n"/>
      <c r="AY83" s="558" t="n"/>
      <c r="AZ83" s="558" t="n"/>
    </row>
    <row r="84" hidden="1" ht="15" customHeight="1" s="418">
      <c r="A84" s="566" t="n"/>
      <c r="B84" s="543" t="n"/>
      <c r="C84" s="543" t="n"/>
      <c r="D84" s="556" t="n"/>
      <c r="E84" s="556" t="n"/>
      <c r="F84" s="556" t="n"/>
      <c r="G84" s="544" t="n"/>
      <c r="H84" s="544" t="n"/>
      <c r="I84" s="544" t="n"/>
      <c r="J84" s="653" t="n"/>
      <c r="K84" s="654" t="n"/>
      <c r="L84" s="654" t="n"/>
      <c r="M84" s="654" t="n"/>
      <c r="N84" s="184">
        <f>I84-K84-M84</f>
        <v/>
      </c>
      <c r="O84" s="617" t="n"/>
      <c r="P84" s="655" t="n"/>
      <c r="Q84" s="593" t="n"/>
      <c r="R84" s="593" t="n"/>
      <c r="S84" s="593" t="n"/>
      <c r="T84" s="558" t="n"/>
      <c r="U84" s="211" t="n"/>
      <c r="V84" s="558" t="n"/>
      <c r="W84" s="558" t="n"/>
      <c r="X84" s="558" t="n"/>
      <c r="Y84" s="558" t="n"/>
      <c r="Z84" s="558" t="n"/>
      <c r="AA84" s="558" t="n"/>
      <c r="AB84" s="558" t="n"/>
      <c r="AC84" s="558" t="n"/>
      <c r="AD84" s="558" t="n"/>
      <c r="AE84" s="558" t="n"/>
      <c r="AF84" s="558" t="n"/>
      <c r="AG84" s="558" t="n"/>
      <c r="AH84" s="558" t="n"/>
      <c r="AI84" s="558" t="n"/>
      <c r="AJ84" s="558" t="n"/>
      <c r="AK84" s="558" t="n"/>
      <c r="AL84" s="558" t="n"/>
      <c r="AM84" s="558" t="n"/>
      <c r="AN84" s="558" t="n"/>
      <c r="AO84" s="558" t="n"/>
      <c r="AP84" s="558" t="n"/>
      <c r="AQ84" s="558" t="n"/>
      <c r="AR84" s="558" t="n"/>
      <c r="AS84" s="558" t="n"/>
      <c r="AT84" s="558" t="n"/>
      <c r="AU84" s="558" t="n"/>
      <c r="AV84" s="558" t="n"/>
      <c r="AW84" s="558" t="n"/>
      <c r="AX84" s="558" t="n"/>
      <c r="AY84" s="558" t="n"/>
      <c r="AZ84" s="558" t="n"/>
    </row>
    <row r="85" hidden="1" ht="15" customHeight="1" s="418">
      <c r="A85" s="566" t="n"/>
      <c r="B85" s="543" t="n"/>
      <c r="C85" s="543" t="n"/>
      <c r="D85" s="556" t="n"/>
      <c r="E85" s="556" t="n"/>
      <c r="F85" s="556" t="n"/>
      <c r="G85" s="544" t="n"/>
      <c r="H85" s="544" t="n"/>
      <c r="I85" s="544" t="n"/>
      <c r="J85" s="653" t="n"/>
      <c r="K85" s="654" t="n"/>
      <c r="L85" s="654" t="n"/>
      <c r="M85" s="654" t="n"/>
      <c r="N85" s="184">
        <f>I85-K85-M85</f>
        <v/>
      </c>
      <c r="O85" s="617" t="n"/>
      <c r="P85" s="655" t="n"/>
      <c r="Q85" s="593" t="n"/>
      <c r="R85" s="593" t="n"/>
      <c r="S85" s="593" t="n"/>
      <c r="T85" s="558" t="n"/>
      <c r="U85" s="211" t="n"/>
      <c r="V85" s="558" t="n"/>
      <c r="W85" s="558" t="n"/>
      <c r="X85" s="558" t="n"/>
      <c r="Y85" s="558" t="n"/>
      <c r="Z85" s="558" t="n"/>
      <c r="AA85" s="558" t="n"/>
      <c r="AB85" s="558" t="n"/>
      <c r="AC85" s="558" t="n"/>
      <c r="AD85" s="558" t="n"/>
      <c r="AE85" s="558" t="n"/>
      <c r="AF85" s="558" t="n"/>
      <c r="AG85" s="558" t="n"/>
      <c r="AH85" s="558" t="n"/>
      <c r="AI85" s="558" t="n"/>
      <c r="AJ85" s="558" t="n"/>
      <c r="AK85" s="558" t="n"/>
      <c r="AL85" s="558" t="n"/>
      <c r="AM85" s="558" t="n"/>
      <c r="AN85" s="558" t="n"/>
      <c r="AO85" s="558" t="n"/>
      <c r="AP85" s="558" t="n"/>
      <c r="AQ85" s="558" t="n"/>
      <c r="AR85" s="558" t="n"/>
      <c r="AS85" s="558" t="n"/>
      <c r="AT85" s="558" t="n"/>
      <c r="AU85" s="558" t="n"/>
      <c r="AV85" s="558" t="n"/>
      <c r="AW85" s="558" t="n"/>
      <c r="AX85" s="558" t="n"/>
      <c r="AY85" s="558" t="n"/>
      <c r="AZ85" s="558" t="n"/>
    </row>
    <row r="86" hidden="1" ht="15" customHeight="1" s="418">
      <c r="A86" s="566" t="n"/>
      <c r="B86" s="543" t="n"/>
      <c r="C86" s="543" t="n"/>
      <c r="D86" s="556" t="n"/>
      <c r="E86" s="556" t="n"/>
      <c r="F86" s="556" t="n"/>
      <c r="G86" s="544" t="n"/>
      <c r="H86" s="544" t="n"/>
      <c r="I86" s="544" t="n"/>
      <c r="J86" s="653" t="n"/>
      <c r="K86" s="654" t="n"/>
      <c r="L86" s="654" t="n"/>
      <c r="M86" s="654" t="n"/>
      <c r="N86" s="184">
        <f>I86-K86-M86</f>
        <v/>
      </c>
      <c r="O86" s="617" t="n"/>
      <c r="P86" s="655" t="n"/>
      <c r="Q86" s="635" t="n"/>
      <c r="R86" s="593" t="n"/>
      <c r="S86" s="593" t="n"/>
      <c r="T86" s="558" t="n"/>
      <c r="U86" s="211" t="n"/>
      <c r="V86" s="558" t="n"/>
      <c r="W86" s="558" t="n"/>
      <c r="X86" s="558" t="n"/>
      <c r="Y86" s="558" t="n"/>
      <c r="Z86" s="558" t="n"/>
      <c r="AA86" s="558" t="n"/>
      <c r="AB86" s="558" t="n"/>
      <c r="AC86" s="558" t="n"/>
      <c r="AD86" s="558" t="n"/>
      <c r="AE86" s="558" t="n"/>
      <c r="AF86" s="558" t="n"/>
      <c r="AG86" s="558" t="n"/>
      <c r="AH86" s="558" t="n"/>
      <c r="AI86" s="558" t="n"/>
      <c r="AJ86" s="558" t="n"/>
      <c r="AK86" s="558" t="n"/>
      <c r="AL86" s="558" t="n"/>
      <c r="AM86" s="558" t="n"/>
      <c r="AN86" s="558" t="n"/>
      <c r="AO86" s="558" t="n"/>
      <c r="AP86" s="558" t="n"/>
      <c r="AQ86" s="558" t="n"/>
      <c r="AR86" s="558" t="n"/>
      <c r="AS86" s="558" t="n"/>
      <c r="AT86" s="558" t="n"/>
      <c r="AU86" s="558" t="n"/>
      <c r="AV86" s="558" t="n"/>
      <c r="AW86" s="558" t="n"/>
      <c r="AX86" s="558" t="n"/>
      <c r="AY86" s="558" t="n"/>
      <c r="AZ86" s="558" t="n"/>
    </row>
    <row r="87" ht="15" customHeight="1" s="418">
      <c r="A87" s="587" t="n"/>
      <c r="B87" s="486" t="n"/>
      <c r="C87" s="486" t="n"/>
      <c r="D87" s="486" t="n"/>
      <c r="E87" s="486" t="n"/>
      <c r="F87" s="486" t="n"/>
      <c r="G87" s="486" t="n"/>
      <c r="H87" s="486" t="n"/>
      <c r="I87" s="486" t="n"/>
      <c r="J87" s="486" t="n"/>
      <c r="K87" s="486" t="n"/>
      <c r="L87" s="486" t="n"/>
      <c r="M87" s="487" t="n"/>
      <c r="N87" s="208">
        <f>SUM(N77:N86)</f>
        <v/>
      </c>
      <c r="O87" s="650" t="n"/>
      <c r="P87" s="658" t="n"/>
      <c r="Q87" s="589" t="n"/>
      <c r="R87" s="589" t="n"/>
      <c r="S87" s="589" t="n"/>
      <c r="T87" s="558" t="n"/>
      <c r="U87" s="211" t="n"/>
      <c r="V87" s="558" t="n"/>
      <c r="W87" s="558" t="n"/>
      <c r="X87" s="558" t="n"/>
      <c r="Y87" s="558" t="n"/>
      <c r="Z87" s="558" t="n"/>
      <c r="AA87" s="558" t="n"/>
      <c r="AB87" s="558" t="n"/>
      <c r="AC87" s="558" t="n"/>
      <c r="AD87" s="558" t="n"/>
      <c r="AE87" s="558" t="n"/>
      <c r="AF87" s="558" t="n"/>
      <c r="AG87" s="558" t="n"/>
      <c r="AH87" s="558" t="n"/>
      <c r="AI87" s="558" t="n"/>
      <c r="AJ87" s="558" t="n"/>
      <c r="AK87" s="558" t="n"/>
      <c r="AL87" s="558" t="n"/>
      <c r="AM87" s="558" t="n"/>
      <c r="AN87" s="558" t="n"/>
      <c r="AO87" s="558" t="n"/>
      <c r="AP87" s="558" t="n"/>
      <c r="AQ87" s="558" t="n"/>
      <c r="AR87" s="558" t="n"/>
      <c r="AS87" s="558" t="n"/>
      <c r="AT87" s="558" t="n"/>
      <c r="AU87" s="558" t="n"/>
      <c r="AV87" s="558" t="n"/>
      <c r="AW87" s="558" t="n"/>
      <c r="AX87" s="558" t="n"/>
      <c r="AY87" s="558" t="n"/>
      <c r="AZ87" s="558" t="n"/>
    </row>
    <row r="88" ht="15" customHeight="1" s="418">
      <c r="A88" s="639" t="n"/>
      <c r="B88" s="543" t="n"/>
      <c r="C88" s="543" t="n"/>
      <c r="D88" s="556" t="n"/>
      <c r="E88" s="556" t="n"/>
      <c r="F88" s="556" t="n"/>
      <c r="G88" s="544" t="n"/>
      <c r="H88" s="544" t="n"/>
      <c r="I88" s="544" t="n"/>
      <c r="J88" s="609" t="n"/>
      <c r="K88" s="564" t="n"/>
      <c r="L88" s="615" t="n"/>
      <c r="M88" s="564" t="n"/>
      <c r="N88" s="184">
        <f>I88-K88-M88</f>
        <v/>
      </c>
      <c r="O88" s="617" t="n"/>
      <c r="P88" s="566" t="n"/>
      <c r="Q88" s="593" t="n"/>
      <c r="R88" s="593" t="n"/>
      <c r="S88" s="593" t="n"/>
      <c r="T88" s="550" t="n"/>
      <c r="U88" s="241" t="n"/>
      <c r="V88" s="482" t="n"/>
      <c r="W88" s="482" t="n"/>
      <c r="X88" s="482" t="n"/>
      <c r="Y88" s="482" t="n"/>
      <c r="Z88" s="482" t="n"/>
      <c r="AA88" s="482" t="n"/>
      <c r="AB88" s="482" t="n"/>
      <c r="AC88" s="482" t="n"/>
      <c r="AD88" s="482" t="n"/>
      <c r="AE88" s="482" t="n"/>
      <c r="AF88" s="482" t="n"/>
      <c r="AG88" s="482" t="n"/>
      <c r="AH88" s="482" t="n"/>
      <c r="AI88" s="482" t="n"/>
      <c r="AJ88" s="482" t="n"/>
      <c r="AK88" s="482" t="n"/>
      <c r="AL88" s="482" t="n"/>
      <c r="AM88" s="482" t="n"/>
      <c r="AN88" s="482" t="n"/>
      <c r="AO88" s="482" t="n"/>
      <c r="AP88" s="482" t="n"/>
      <c r="AQ88" s="482" t="n"/>
      <c r="AR88" s="482" t="n"/>
      <c r="AS88" s="482" t="n"/>
      <c r="AT88" s="482" t="n"/>
      <c r="AU88" s="482" t="n"/>
      <c r="AV88" s="482" t="n"/>
      <c r="AW88" s="482" t="n"/>
      <c r="AX88" s="482" t="n"/>
      <c r="AY88" s="482" t="n"/>
      <c r="AZ88" s="482" t="n"/>
    </row>
    <row r="89" ht="15" customHeight="1" s="418">
      <c r="A89" s="566" t="n"/>
      <c r="B89" s="543" t="n"/>
      <c r="C89" s="543" t="n"/>
      <c r="D89" s="556" t="n"/>
      <c r="E89" s="556" t="n"/>
      <c r="F89" s="556" t="n"/>
      <c r="G89" s="544" t="n"/>
      <c r="H89" s="544" t="n"/>
      <c r="I89" s="544" t="n"/>
      <c r="J89" s="609" t="n"/>
      <c r="K89" s="564" t="n"/>
      <c r="L89" s="615" t="n"/>
      <c r="M89" s="564" t="n"/>
      <c r="N89" s="184">
        <f>I89-K89-M89</f>
        <v/>
      </c>
      <c r="O89" s="617" t="n"/>
      <c r="P89" s="543" t="n"/>
      <c r="Q89" s="593" t="n"/>
      <c r="R89" s="593" t="n"/>
      <c r="S89" s="593" t="n"/>
      <c r="T89" s="550" t="n"/>
      <c r="U89" s="241" t="n"/>
      <c r="V89" s="482" t="n"/>
      <c r="W89" s="482" t="n"/>
      <c r="X89" s="482" t="n"/>
      <c r="Y89" s="482" t="n"/>
      <c r="Z89" s="482" t="n"/>
      <c r="AA89" s="482" t="n"/>
      <c r="AB89" s="482" t="n"/>
      <c r="AC89" s="482" t="n"/>
      <c r="AD89" s="482" t="n"/>
      <c r="AE89" s="482" t="n"/>
      <c r="AF89" s="482" t="n"/>
      <c r="AG89" s="482" t="n"/>
      <c r="AH89" s="482" t="n"/>
      <c r="AI89" s="482" t="n"/>
      <c r="AJ89" s="482" t="n"/>
      <c r="AK89" s="482" t="n"/>
      <c r="AL89" s="482" t="n"/>
      <c r="AM89" s="482" t="n"/>
      <c r="AN89" s="482" t="n"/>
      <c r="AO89" s="482" t="n"/>
      <c r="AP89" s="482" t="n"/>
      <c r="AQ89" s="482" t="n"/>
      <c r="AR89" s="482" t="n"/>
      <c r="AS89" s="482" t="n"/>
      <c r="AT89" s="482" t="n"/>
      <c r="AU89" s="482" t="n"/>
      <c r="AV89" s="482" t="n"/>
      <c r="AW89" s="482" t="n"/>
      <c r="AX89" s="482" t="n"/>
      <c r="AY89" s="482" t="n"/>
      <c r="AZ89" s="482" t="n"/>
    </row>
    <row r="90" ht="15" customFormat="1" customHeight="1" s="557">
      <c r="A90" s="566" t="n"/>
      <c r="B90" s="543" t="n"/>
      <c r="C90" s="543" t="n"/>
      <c r="D90" s="556" t="n"/>
      <c r="E90" s="556" t="n"/>
      <c r="F90" s="556" t="n"/>
      <c r="G90" s="544" t="n"/>
      <c r="H90" s="544" t="n"/>
      <c r="I90" s="544" t="n"/>
      <c r="J90" s="653" t="n"/>
      <c r="K90" s="654" t="n"/>
      <c r="L90" s="644" t="n"/>
      <c r="M90" s="564" t="n"/>
      <c r="N90" s="184">
        <f>I90-K90-M90</f>
        <v/>
      </c>
      <c r="O90" s="617" t="n"/>
      <c r="P90" s="657" t="n"/>
      <c r="R90" s="593" t="n"/>
      <c r="S90" s="593" t="n"/>
      <c r="T90" s="558" t="n"/>
      <c r="U90" s="211" t="n"/>
      <c r="V90" s="558" t="n"/>
      <c r="W90" s="558" t="n"/>
      <c r="X90" s="558" t="n"/>
      <c r="Y90" s="558" t="n"/>
      <c r="Z90" s="558" t="n"/>
      <c r="AA90" s="558" t="n"/>
      <c r="AB90" s="558" t="n"/>
      <c r="AC90" s="558" t="n"/>
      <c r="AD90" s="558" t="n"/>
      <c r="AE90" s="558" t="n"/>
      <c r="AF90" s="558" t="n"/>
      <c r="AG90" s="558" t="n"/>
      <c r="AH90" s="558" t="n"/>
      <c r="AI90" s="558" t="n"/>
      <c r="AJ90" s="558" t="n"/>
      <c r="AK90" s="558" t="n"/>
      <c r="AL90" s="558" t="n"/>
      <c r="AM90" s="558" t="n"/>
      <c r="AN90" s="558" t="n"/>
      <c r="AO90" s="558" t="n"/>
      <c r="AP90" s="558" t="n"/>
      <c r="AQ90" s="558" t="n"/>
      <c r="AR90" s="558" t="n"/>
      <c r="AS90" s="558" t="n"/>
      <c r="AT90" s="558" t="n"/>
      <c r="AU90" s="558" t="n"/>
      <c r="AV90" s="558" t="n"/>
      <c r="AW90" s="558" t="n"/>
      <c r="AX90" s="558" t="n"/>
      <c r="AY90" s="558" t="n"/>
      <c r="AZ90" s="558" t="n"/>
    </row>
    <row r="91" hidden="1" ht="15" customFormat="1" customHeight="1" s="557">
      <c r="A91" s="659" t="n"/>
      <c r="B91" s="606" t="n"/>
      <c r="C91" s="606" t="n"/>
      <c r="D91" s="607" t="n"/>
      <c r="E91" s="607" t="n"/>
      <c r="F91" s="607" t="n"/>
      <c r="G91" s="608" t="n"/>
      <c r="H91" s="608" t="n"/>
      <c r="I91" s="608" t="n"/>
      <c r="J91" s="653" t="n"/>
      <c r="K91" s="654" t="n"/>
      <c r="L91" s="644" t="n"/>
      <c r="M91" s="564" t="n"/>
      <c r="N91" s="184">
        <f>I91-K91-M91</f>
        <v/>
      </c>
      <c r="O91" s="617" t="n"/>
      <c r="P91" s="657" t="n"/>
      <c r="R91" s="593" t="n"/>
      <c r="S91" s="593" t="n"/>
      <c r="T91" s="558" t="n"/>
      <c r="U91" s="211" t="n"/>
      <c r="V91" s="558" t="n"/>
      <c r="W91" s="558" t="n"/>
      <c r="X91" s="558" t="n"/>
      <c r="Y91" s="558" t="n"/>
      <c r="Z91" s="558" t="n"/>
      <c r="AA91" s="558" t="n"/>
      <c r="AB91" s="558" t="n"/>
      <c r="AC91" s="558" t="n"/>
      <c r="AD91" s="558" t="n"/>
      <c r="AE91" s="558" t="n"/>
      <c r="AF91" s="558" t="n"/>
      <c r="AG91" s="558" t="n"/>
      <c r="AH91" s="558" t="n"/>
      <c r="AI91" s="558" t="n"/>
      <c r="AJ91" s="558" t="n"/>
      <c r="AK91" s="558" t="n"/>
      <c r="AL91" s="558" t="n"/>
      <c r="AM91" s="558" t="n"/>
      <c r="AN91" s="558" t="n"/>
      <c r="AO91" s="558" t="n"/>
      <c r="AP91" s="558" t="n"/>
      <c r="AQ91" s="558" t="n"/>
      <c r="AR91" s="558" t="n"/>
      <c r="AS91" s="558" t="n"/>
      <c r="AT91" s="558" t="n"/>
      <c r="AU91" s="558" t="n"/>
      <c r="AV91" s="558" t="n"/>
      <c r="AW91" s="558" t="n"/>
      <c r="AX91" s="558" t="n"/>
      <c r="AY91" s="558" t="n"/>
      <c r="AZ91" s="558" t="n"/>
    </row>
    <row r="92" hidden="1" ht="15" customFormat="1" customHeight="1" s="557">
      <c r="A92" s="659" t="n"/>
      <c r="B92" s="606" t="n"/>
      <c r="C92" s="606" t="n"/>
      <c r="D92" s="607" t="n"/>
      <c r="E92" s="607" t="n"/>
      <c r="F92" s="607" t="n"/>
      <c r="G92" s="608" t="n"/>
      <c r="H92" s="608" t="n"/>
      <c r="I92" s="608" t="n"/>
      <c r="J92" s="653" t="n"/>
      <c r="K92" s="654" t="n"/>
      <c r="L92" s="644" t="n"/>
      <c r="M92" s="564" t="n"/>
      <c r="N92" s="184">
        <f>I92-K92-M92</f>
        <v/>
      </c>
      <c r="O92" s="617" t="n"/>
      <c r="P92" s="628" t="n"/>
      <c r="R92" s="593" t="n"/>
      <c r="S92" s="593" t="n"/>
      <c r="T92" s="558" t="n"/>
      <c r="U92" s="211" t="n"/>
      <c r="V92" s="558" t="n"/>
      <c r="W92" s="558" t="n"/>
      <c r="X92" s="558" t="n"/>
      <c r="Y92" s="558" t="n"/>
      <c r="Z92" s="558" t="n"/>
      <c r="AA92" s="558" t="n"/>
      <c r="AB92" s="558" t="n"/>
      <c r="AC92" s="558" t="n"/>
      <c r="AD92" s="558" t="n"/>
      <c r="AE92" s="558" t="n"/>
      <c r="AF92" s="558" t="n"/>
      <c r="AG92" s="558" t="n"/>
      <c r="AH92" s="558" t="n"/>
      <c r="AI92" s="558" t="n"/>
      <c r="AJ92" s="558" t="n"/>
      <c r="AK92" s="558" t="n"/>
      <c r="AL92" s="558" t="n"/>
      <c r="AM92" s="558" t="n"/>
      <c r="AN92" s="558" t="n"/>
      <c r="AO92" s="558" t="n"/>
      <c r="AP92" s="558" t="n"/>
      <c r="AQ92" s="558" t="n"/>
      <c r="AR92" s="558" t="n"/>
      <c r="AS92" s="558" t="n"/>
      <c r="AT92" s="558" t="n"/>
      <c r="AU92" s="558" t="n"/>
      <c r="AV92" s="558" t="n"/>
      <c r="AW92" s="558" t="n"/>
      <c r="AX92" s="558" t="n"/>
      <c r="AY92" s="558" t="n"/>
      <c r="AZ92" s="558" t="n"/>
    </row>
    <row r="93" hidden="1" ht="15" customHeight="1" s="418">
      <c r="A93" s="659" t="n"/>
      <c r="B93" s="606" t="n"/>
      <c r="C93" s="606" t="n"/>
      <c r="D93" s="607" t="n"/>
      <c r="E93" s="607" t="n"/>
      <c r="F93" s="607" t="n"/>
      <c r="G93" s="608" t="n"/>
      <c r="H93" s="608" t="n"/>
      <c r="I93" s="608" t="n"/>
      <c r="J93" s="653" t="n"/>
      <c r="K93" s="654" t="n"/>
      <c r="L93" s="644" t="n"/>
      <c r="M93" s="564" t="n"/>
      <c r="N93" s="184">
        <f>I93-K93-M93</f>
        <v/>
      </c>
      <c r="O93" s="617" t="n"/>
      <c r="P93" s="597" t="n"/>
      <c r="Q93" s="593" t="n"/>
      <c r="R93" s="593" t="n"/>
      <c r="S93" s="593" t="n"/>
      <c r="T93" s="558" t="n"/>
      <c r="U93" s="211" t="n"/>
      <c r="V93" s="558" t="n"/>
      <c r="W93" s="558" t="n"/>
      <c r="X93" s="558" t="n"/>
      <c r="Y93" s="558" t="n"/>
      <c r="Z93" s="558" t="n"/>
      <c r="AA93" s="558" t="n"/>
      <c r="AB93" s="558" t="n"/>
      <c r="AC93" s="558" t="n"/>
      <c r="AD93" s="558" t="n"/>
      <c r="AE93" s="558" t="n"/>
      <c r="AF93" s="558" t="n"/>
      <c r="AG93" s="558" t="n"/>
      <c r="AH93" s="558" t="n"/>
      <c r="AI93" s="558" t="n"/>
      <c r="AJ93" s="558" t="n"/>
      <c r="AK93" s="558" t="n"/>
      <c r="AL93" s="558" t="n"/>
      <c r="AM93" s="558" t="n"/>
      <c r="AN93" s="558" t="n"/>
      <c r="AO93" s="558" t="n"/>
      <c r="AP93" s="558" t="n"/>
      <c r="AQ93" s="558" t="n"/>
      <c r="AR93" s="558" t="n"/>
      <c r="AS93" s="558" t="n"/>
      <c r="AT93" s="558" t="n"/>
      <c r="AU93" s="558" t="n"/>
      <c r="AV93" s="558" t="n"/>
      <c r="AW93" s="558" t="n"/>
      <c r="AX93" s="558" t="n"/>
      <c r="AY93" s="558" t="n"/>
      <c r="AZ93" s="558" t="n"/>
    </row>
    <row r="94" hidden="1" ht="15" customHeight="1" s="418">
      <c r="A94" s="659" t="n"/>
      <c r="B94" s="606" t="n"/>
      <c r="C94" s="606" t="n"/>
      <c r="D94" s="607" t="n"/>
      <c r="E94" s="607" t="n"/>
      <c r="F94" s="607" t="n"/>
      <c r="G94" s="608" t="n"/>
      <c r="H94" s="608" t="n"/>
      <c r="I94" s="608" t="n"/>
      <c r="J94" s="653" t="n"/>
      <c r="K94" s="654" t="n"/>
      <c r="L94" s="644" t="n"/>
      <c r="M94" s="564" t="n"/>
      <c r="N94" s="184">
        <f>I94-K94-M94</f>
        <v/>
      </c>
      <c r="O94" s="617" t="n"/>
      <c r="P94" s="597" t="n"/>
      <c r="Q94" s="593" t="n"/>
      <c r="R94" s="593" t="n"/>
      <c r="S94" s="593" t="n"/>
      <c r="T94" s="558" t="n"/>
      <c r="U94" s="211" t="n"/>
      <c r="V94" s="558" t="n"/>
      <c r="W94" s="558" t="n"/>
      <c r="X94" s="558" t="n"/>
      <c r="Y94" s="558" t="n"/>
      <c r="Z94" s="558" t="n"/>
      <c r="AA94" s="558" t="n"/>
      <c r="AB94" s="558" t="n"/>
      <c r="AC94" s="558" t="n"/>
      <c r="AD94" s="558" t="n"/>
      <c r="AE94" s="558" t="n"/>
      <c r="AF94" s="558" t="n"/>
      <c r="AG94" s="558" t="n"/>
      <c r="AH94" s="558" t="n"/>
      <c r="AI94" s="558" t="n"/>
      <c r="AJ94" s="558" t="n"/>
      <c r="AK94" s="558" t="n"/>
      <c r="AL94" s="558" t="n"/>
      <c r="AM94" s="558" t="n"/>
      <c r="AN94" s="558" t="n"/>
      <c r="AO94" s="558" t="n"/>
      <c r="AP94" s="558" t="n"/>
      <c r="AQ94" s="558" t="n"/>
      <c r="AR94" s="558" t="n"/>
      <c r="AS94" s="558" t="n"/>
      <c r="AT94" s="558" t="n"/>
      <c r="AU94" s="558" t="n"/>
      <c r="AV94" s="558" t="n"/>
      <c r="AW94" s="558" t="n"/>
      <c r="AX94" s="558" t="n"/>
      <c r="AY94" s="558" t="n"/>
      <c r="AZ94" s="558" t="n"/>
    </row>
    <row r="95" hidden="1" ht="15" customHeight="1" s="418">
      <c r="A95" s="660" t="n"/>
      <c r="B95" s="606" t="n"/>
      <c r="C95" s="606" t="n"/>
      <c r="D95" s="607" t="n"/>
      <c r="E95" s="607" t="n"/>
      <c r="F95" s="607" t="n"/>
      <c r="G95" s="608" t="n"/>
      <c r="H95" s="608" t="n"/>
      <c r="I95" s="608" t="n"/>
      <c r="J95" s="653" t="n"/>
      <c r="K95" s="654" t="n"/>
      <c r="L95" s="654" t="n"/>
      <c r="M95" s="654" t="n"/>
      <c r="N95" s="184">
        <f>I95-K95-M95</f>
        <v/>
      </c>
      <c r="O95" s="617" t="n"/>
      <c r="P95" s="597" t="n"/>
      <c r="Q95" s="635" t="n"/>
      <c r="R95" s="635" t="n"/>
      <c r="S95" s="635" t="n"/>
      <c r="T95" s="558" t="n"/>
      <c r="U95" s="211" t="n"/>
      <c r="V95" s="558" t="n"/>
      <c r="W95" s="558" t="n"/>
      <c r="X95" s="558" t="n"/>
      <c r="Y95" s="558" t="n"/>
      <c r="Z95" s="558" t="n"/>
      <c r="AA95" s="558" t="n"/>
      <c r="AB95" s="558" t="n"/>
      <c r="AC95" s="558" t="n"/>
      <c r="AD95" s="558" t="n"/>
      <c r="AE95" s="558" t="n"/>
      <c r="AF95" s="558" t="n"/>
      <c r="AG95" s="558" t="n"/>
      <c r="AH95" s="558" t="n"/>
      <c r="AI95" s="558" t="n"/>
      <c r="AJ95" s="558" t="n"/>
      <c r="AK95" s="558" t="n"/>
      <c r="AL95" s="558" t="n"/>
      <c r="AM95" s="558" t="n"/>
      <c r="AN95" s="558" t="n"/>
      <c r="AO95" s="558" t="n"/>
      <c r="AP95" s="558" t="n"/>
      <c r="AQ95" s="558" t="n"/>
      <c r="AR95" s="558" t="n"/>
      <c r="AS95" s="558" t="n"/>
      <c r="AT95" s="558" t="n"/>
      <c r="AU95" s="558" t="n"/>
      <c r="AV95" s="558" t="n"/>
      <c r="AW95" s="558" t="n"/>
      <c r="AX95" s="558" t="n"/>
      <c r="AY95" s="558" t="n"/>
      <c r="AZ95" s="558" t="n"/>
    </row>
    <row r="96" ht="15" customHeight="1" s="418">
      <c r="A96" s="587" t="n"/>
      <c r="B96" s="486" t="n"/>
      <c r="C96" s="486" t="n"/>
      <c r="D96" s="486" t="n"/>
      <c r="E96" s="486" t="n"/>
      <c r="F96" s="486" t="n"/>
      <c r="G96" s="486" t="n"/>
      <c r="H96" s="486" t="n"/>
      <c r="I96" s="486" t="n"/>
      <c r="J96" s="486" t="n"/>
      <c r="K96" s="486" t="n"/>
      <c r="L96" s="486" t="n"/>
      <c r="M96" s="487" t="n"/>
      <c r="N96" s="208">
        <f>SUM(N88:N95)</f>
        <v/>
      </c>
      <c r="O96" s="650" t="n"/>
      <c r="P96" s="588" t="n"/>
      <c r="Q96" s="589" t="n"/>
      <c r="R96" s="589" t="n"/>
      <c r="S96" s="589" t="n"/>
      <c r="T96" s="558" t="n"/>
      <c r="U96" s="211" t="n"/>
      <c r="V96" s="558" t="n"/>
      <c r="W96" s="558" t="n"/>
      <c r="X96" s="558" t="n"/>
      <c r="Y96" s="558" t="n"/>
      <c r="Z96" s="558" t="n"/>
      <c r="AA96" s="558" t="n"/>
      <c r="AB96" s="558" t="n"/>
      <c r="AC96" s="558" t="n"/>
      <c r="AD96" s="558" t="n"/>
      <c r="AE96" s="558" t="n"/>
      <c r="AF96" s="558" t="n"/>
      <c r="AG96" s="558" t="n"/>
      <c r="AH96" s="558" t="n"/>
      <c r="AI96" s="558" t="n"/>
      <c r="AJ96" s="558" t="n"/>
      <c r="AK96" s="558" t="n"/>
      <c r="AL96" s="558" t="n"/>
      <c r="AM96" s="558" t="n"/>
      <c r="AN96" s="558" t="n"/>
      <c r="AO96" s="558" t="n"/>
      <c r="AP96" s="558" t="n"/>
      <c r="AQ96" s="558" t="n"/>
      <c r="AR96" s="558" t="n"/>
      <c r="AS96" s="558" t="n"/>
      <c r="AT96" s="558" t="n"/>
      <c r="AU96" s="558" t="n"/>
      <c r="AV96" s="558" t="n"/>
      <c r="AW96" s="558" t="n"/>
      <c r="AX96" s="558" t="n"/>
      <c r="AY96" s="558" t="n"/>
      <c r="AZ96" s="558" t="n"/>
    </row>
    <row r="97" ht="15" customHeight="1" s="418">
      <c r="A97" s="661" t="n"/>
      <c r="B97" s="543" t="n"/>
      <c r="C97" s="611" t="n"/>
      <c r="D97" s="556" t="n"/>
      <c r="E97" s="556" t="n"/>
      <c r="F97" s="556" t="n"/>
      <c r="G97" s="544" t="n"/>
      <c r="H97" s="544" t="n"/>
      <c r="I97" s="662" t="n"/>
      <c r="J97" s="609" t="n"/>
      <c r="K97" s="564" t="n"/>
      <c r="L97" s="615" t="n"/>
      <c r="M97" s="564" t="n"/>
      <c r="N97" s="184">
        <f>I97-K97-M97</f>
        <v/>
      </c>
      <c r="O97" s="617" t="n"/>
      <c r="P97" s="543" t="n"/>
      <c r="Q97" s="593" t="n"/>
      <c r="R97" s="593" t="n"/>
      <c r="S97" s="593" t="n"/>
      <c r="T97" s="550" t="n"/>
      <c r="U97" s="241" t="n"/>
      <c r="V97" s="482" t="n"/>
      <c r="W97" s="482" t="n"/>
      <c r="X97" s="482" t="n"/>
      <c r="Y97" s="482" t="n"/>
      <c r="Z97" s="482" t="n"/>
      <c r="AA97" s="482" t="n"/>
      <c r="AB97" s="482" t="n"/>
      <c r="AC97" s="482" t="n"/>
      <c r="AD97" s="482" t="n"/>
      <c r="AE97" s="482" t="n"/>
      <c r="AF97" s="482" t="n"/>
      <c r="AG97" s="482" t="n"/>
      <c r="AH97" s="482" t="n"/>
      <c r="AI97" s="482" t="n"/>
      <c r="AJ97" s="482" t="n"/>
      <c r="AK97" s="482" t="n"/>
      <c r="AL97" s="482" t="n"/>
      <c r="AM97" s="482" t="n"/>
      <c r="AN97" s="482" t="n"/>
      <c r="AO97" s="482" t="n"/>
      <c r="AP97" s="482" t="n"/>
      <c r="AQ97" s="482" t="n"/>
      <c r="AR97" s="482" t="n"/>
      <c r="AS97" s="482" t="n"/>
      <c r="AT97" s="482" t="n"/>
      <c r="AU97" s="482" t="n"/>
      <c r="AV97" s="482" t="n"/>
      <c r="AW97" s="482" t="n"/>
      <c r="AX97" s="482" t="n"/>
      <c r="AY97" s="482" t="n"/>
      <c r="AZ97" s="482" t="n"/>
    </row>
    <row r="98" ht="15" customHeight="1" s="418">
      <c r="A98" s="663" t="n"/>
      <c r="B98" s="543" t="n"/>
      <c r="C98" s="543" t="n"/>
      <c r="D98" s="556" t="n"/>
      <c r="E98" s="556" t="n"/>
      <c r="F98" s="556" t="n"/>
      <c r="G98" s="544" t="n"/>
      <c r="H98" s="544" t="n"/>
      <c r="I98" s="662" t="n"/>
      <c r="J98" s="609" t="n"/>
      <c r="K98" s="564" t="n"/>
      <c r="L98" s="615" t="n"/>
      <c r="M98" s="564" t="n"/>
      <c r="N98" s="184">
        <f>I98-K98-M98</f>
        <v/>
      </c>
      <c r="O98" s="617" t="n"/>
      <c r="P98" s="543" t="n"/>
      <c r="Q98" s="593" t="n"/>
      <c r="R98" s="593" t="n"/>
      <c r="S98" s="593" t="n"/>
      <c r="T98" s="550" t="n"/>
      <c r="U98" s="241" t="n"/>
      <c r="V98" s="482" t="n"/>
      <c r="W98" s="482" t="n"/>
      <c r="X98" s="482" t="n"/>
      <c r="Y98" s="482" t="n"/>
      <c r="Z98" s="482" t="n"/>
      <c r="AA98" s="482" t="n"/>
      <c r="AB98" s="482" t="n"/>
      <c r="AC98" s="482" t="n"/>
      <c r="AD98" s="482" t="n"/>
      <c r="AE98" s="482" t="n"/>
      <c r="AF98" s="482" t="n"/>
      <c r="AG98" s="482" t="n"/>
      <c r="AH98" s="482" t="n"/>
      <c r="AI98" s="482" t="n"/>
      <c r="AJ98" s="482" t="n"/>
      <c r="AK98" s="482" t="n"/>
      <c r="AL98" s="482" t="n"/>
      <c r="AM98" s="482" t="n"/>
      <c r="AN98" s="482" t="n"/>
      <c r="AO98" s="482" t="n"/>
      <c r="AP98" s="482" t="n"/>
      <c r="AQ98" s="482" t="n"/>
      <c r="AR98" s="482" t="n"/>
      <c r="AS98" s="482" t="n"/>
      <c r="AT98" s="482" t="n"/>
      <c r="AU98" s="482" t="n"/>
      <c r="AV98" s="482" t="n"/>
      <c r="AW98" s="482" t="n"/>
      <c r="AX98" s="482" t="n"/>
      <c r="AY98" s="482" t="n"/>
      <c r="AZ98" s="482" t="n"/>
    </row>
    <row r="99" ht="15" customHeight="1" s="418">
      <c r="A99" s="659" t="n"/>
      <c r="B99" s="606" t="n"/>
      <c r="C99" s="606" t="n"/>
      <c r="D99" s="607" t="n"/>
      <c r="E99" s="607" t="n"/>
      <c r="F99" s="607" t="n"/>
      <c r="G99" s="608" t="n"/>
      <c r="H99" s="608" t="n"/>
      <c r="I99" s="608" t="n"/>
      <c r="J99" s="653" t="n"/>
      <c r="K99" s="654" t="n"/>
      <c r="L99" s="644" t="n"/>
      <c r="M99" s="564" t="n"/>
      <c r="N99" s="184">
        <f>I99-K99-M99</f>
        <v/>
      </c>
      <c r="O99" s="617" t="n"/>
      <c r="P99" s="543" t="n"/>
      <c r="Q99" s="593" t="n"/>
      <c r="R99" s="593" t="n"/>
      <c r="S99" s="593" t="n"/>
      <c r="T99" s="558" t="n"/>
      <c r="U99" s="211" t="n"/>
      <c r="V99" s="558" t="n"/>
      <c r="W99" s="558" t="n"/>
      <c r="X99" s="558" t="n"/>
      <c r="Y99" s="558" t="n"/>
      <c r="Z99" s="558" t="n"/>
      <c r="AA99" s="558" t="n"/>
      <c r="AB99" s="558" t="n"/>
      <c r="AC99" s="558" t="n"/>
      <c r="AD99" s="558" t="n"/>
      <c r="AE99" s="558" t="n"/>
      <c r="AF99" s="558" t="n"/>
      <c r="AG99" s="558" t="n"/>
      <c r="AH99" s="558" t="n"/>
      <c r="AI99" s="558" t="n"/>
      <c r="AJ99" s="558" t="n"/>
      <c r="AK99" s="558" t="n"/>
      <c r="AL99" s="558" t="n"/>
      <c r="AM99" s="558" t="n"/>
      <c r="AN99" s="558" t="n"/>
      <c r="AO99" s="558" t="n"/>
      <c r="AP99" s="558" t="n"/>
      <c r="AQ99" s="558" t="n"/>
      <c r="AR99" s="558" t="n"/>
      <c r="AS99" s="558" t="n"/>
      <c r="AT99" s="558" t="n"/>
      <c r="AU99" s="558" t="n"/>
      <c r="AV99" s="558" t="n"/>
      <c r="AW99" s="558" t="n"/>
      <c r="AX99" s="558" t="n"/>
      <c r="AY99" s="558" t="n"/>
      <c r="AZ99" s="558" t="n"/>
    </row>
    <row r="100" ht="15" customHeight="1" s="418">
      <c r="A100" s="659" t="n"/>
      <c r="B100" s="606" t="n"/>
      <c r="C100" s="606" t="n"/>
      <c r="D100" s="607" t="n"/>
      <c r="E100" s="607" t="n"/>
      <c r="F100" s="607" t="n"/>
      <c r="G100" s="608" t="n"/>
      <c r="H100" s="608" t="n"/>
      <c r="I100" s="608" t="n"/>
      <c r="J100" s="653" t="n"/>
      <c r="K100" s="654" t="n"/>
      <c r="L100" s="644" t="n"/>
      <c r="M100" s="564" t="n"/>
      <c r="N100" s="184">
        <f>I100-K100-M100</f>
        <v/>
      </c>
      <c r="O100" s="617" t="n"/>
      <c r="P100" s="543" t="n"/>
      <c r="Q100" s="593" t="n"/>
      <c r="R100" s="593" t="n"/>
      <c r="S100" s="593" t="n"/>
      <c r="T100" s="558" t="n"/>
      <c r="U100" s="211" t="n"/>
      <c r="V100" s="558" t="n"/>
      <c r="W100" s="558" t="n"/>
      <c r="X100" s="558" t="n"/>
      <c r="Y100" s="558" t="n"/>
      <c r="Z100" s="558" t="n"/>
      <c r="AA100" s="558" t="n"/>
      <c r="AB100" s="558" t="n"/>
      <c r="AC100" s="558" t="n"/>
      <c r="AD100" s="558" t="n"/>
      <c r="AE100" s="558" t="n"/>
      <c r="AF100" s="558" t="n"/>
      <c r="AG100" s="558" t="n"/>
      <c r="AH100" s="558" t="n"/>
      <c r="AI100" s="558" t="n"/>
      <c r="AJ100" s="558" t="n"/>
      <c r="AK100" s="558" t="n"/>
      <c r="AL100" s="558" t="n"/>
      <c r="AM100" s="558" t="n"/>
      <c r="AN100" s="558" t="n"/>
      <c r="AO100" s="558" t="n"/>
      <c r="AP100" s="558" t="n"/>
      <c r="AQ100" s="558" t="n"/>
      <c r="AR100" s="558" t="n"/>
      <c r="AS100" s="558" t="n"/>
      <c r="AT100" s="558" t="n"/>
      <c r="AU100" s="558" t="n"/>
      <c r="AV100" s="558" t="n"/>
      <c r="AW100" s="558" t="n"/>
      <c r="AX100" s="558" t="n"/>
      <c r="AY100" s="558" t="n"/>
      <c r="AZ100" s="558" t="n"/>
    </row>
    <row r="101" ht="15" customHeight="1" s="418">
      <c r="A101" s="659" t="n"/>
      <c r="B101" s="606" t="n"/>
      <c r="C101" s="606" t="n"/>
      <c r="D101" s="607" t="n"/>
      <c r="E101" s="607" t="n"/>
      <c r="F101" s="607" t="n"/>
      <c r="G101" s="608" t="n"/>
      <c r="H101" s="608" t="n"/>
      <c r="I101" s="608" t="n"/>
      <c r="J101" s="653" t="n"/>
      <c r="K101" s="654" t="n"/>
      <c r="L101" s="644" t="n"/>
      <c r="M101" s="564" t="n"/>
      <c r="N101" s="184">
        <f>I101-K101-M101</f>
        <v/>
      </c>
      <c r="O101" s="617" t="n"/>
      <c r="P101" s="543" t="n"/>
      <c r="Q101" s="593" t="n"/>
      <c r="R101" s="593" t="n"/>
      <c r="S101" s="593" t="n"/>
      <c r="T101" s="558" t="n"/>
      <c r="U101" s="211" t="n"/>
      <c r="V101" s="558" t="n"/>
      <c r="W101" s="558" t="n"/>
      <c r="X101" s="558" t="n"/>
      <c r="Y101" s="558" t="n"/>
      <c r="Z101" s="558" t="n"/>
      <c r="AA101" s="558" t="n"/>
      <c r="AB101" s="558" t="n"/>
      <c r="AC101" s="558" t="n"/>
      <c r="AD101" s="558" t="n"/>
      <c r="AE101" s="558" t="n"/>
      <c r="AF101" s="558" t="n"/>
      <c r="AG101" s="558" t="n"/>
      <c r="AH101" s="558" t="n"/>
      <c r="AI101" s="558" t="n"/>
      <c r="AJ101" s="558" t="n"/>
      <c r="AK101" s="558" t="n"/>
      <c r="AL101" s="558" t="n"/>
      <c r="AM101" s="558" t="n"/>
      <c r="AN101" s="558" t="n"/>
      <c r="AO101" s="558" t="n"/>
      <c r="AP101" s="558" t="n"/>
      <c r="AQ101" s="558" t="n"/>
      <c r="AR101" s="558" t="n"/>
      <c r="AS101" s="558" t="n"/>
      <c r="AT101" s="558" t="n"/>
      <c r="AU101" s="558" t="n"/>
      <c r="AV101" s="558" t="n"/>
      <c r="AW101" s="558" t="n"/>
      <c r="AX101" s="558" t="n"/>
      <c r="AY101" s="558" t="n"/>
      <c r="AZ101" s="558" t="n"/>
    </row>
    <row r="102" ht="15" customHeight="1" s="418">
      <c r="A102" s="659" t="n"/>
      <c r="B102" s="606" t="n"/>
      <c r="C102" s="606" t="n"/>
      <c r="D102" s="607" t="n"/>
      <c r="E102" s="607" t="n"/>
      <c r="F102" s="607" t="n"/>
      <c r="G102" s="608" t="n"/>
      <c r="H102" s="608" t="n"/>
      <c r="I102" s="608" t="n"/>
      <c r="J102" s="653" t="n"/>
      <c r="K102" s="654" t="n"/>
      <c r="L102" s="644" t="n"/>
      <c r="M102" s="564" t="n"/>
      <c r="N102" s="184">
        <f>I102-K102-M102</f>
        <v/>
      </c>
      <c r="O102" s="617" t="n"/>
      <c r="P102" s="597" t="n"/>
      <c r="Q102" s="593" t="n"/>
      <c r="R102" s="593" t="n"/>
      <c r="S102" s="593" t="n"/>
      <c r="T102" s="558" t="n"/>
      <c r="U102" s="211" t="n"/>
      <c r="V102" s="558" t="n"/>
      <c r="W102" s="558" t="n"/>
      <c r="X102" s="558" t="n"/>
      <c r="Y102" s="558" t="n"/>
      <c r="Z102" s="558" t="n"/>
      <c r="AA102" s="558" t="n"/>
      <c r="AB102" s="558" t="n"/>
      <c r="AC102" s="558" t="n"/>
      <c r="AD102" s="558" t="n"/>
      <c r="AE102" s="558" t="n"/>
      <c r="AF102" s="558" t="n"/>
      <c r="AG102" s="558" t="n"/>
      <c r="AH102" s="558" t="n"/>
      <c r="AI102" s="558" t="n"/>
      <c r="AJ102" s="558" t="n"/>
      <c r="AK102" s="558" t="n"/>
      <c r="AL102" s="558" t="n"/>
      <c r="AM102" s="558" t="n"/>
      <c r="AN102" s="558" t="n"/>
      <c r="AO102" s="558" t="n"/>
      <c r="AP102" s="558" t="n"/>
      <c r="AQ102" s="558" t="n"/>
      <c r="AR102" s="558" t="n"/>
      <c r="AS102" s="558" t="n"/>
      <c r="AT102" s="558" t="n"/>
      <c r="AU102" s="558" t="n"/>
      <c r="AV102" s="558" t="n"/>
      <c r="AW102" s="558" t="n"/>
      <c r="AX102" s="558" t="n"/>
      <c r="AY102" s="558" t="n"/>
      <c r="AZ102" s="558" t="n"/>
    </row>
    <row r="103" ht="15" customHeight="1" s="418">
      <c r="A103" s="659" t="n"/>
      <c r="B103" s="606" t="n"/>
      <c r="C103" s="606" t="n"/>
      <c r="D103" s="607" t="n"/>
      <c r="E103" s="607" t="n"/>
      <c r="F103" s="607" t="n"/>
      <c r="G103" s="608" t="n"/>
      <c r="H103" s="608" t="n"/>
      <c r="I103" s="608" t="n"/>
      <c r="J103" s="653" t="n"/>
      <c r="K103" s="654" t="n"/>
      <c r="L103" s="644" t="n"/>
      <c r="M103" s="564" t="n"/>
      <c r="N103" s="184">
        <f>I103-K103-M103</f>
        <v/>
      </c>
      <c r="O103" s="617" t="n"/>
      <c r="P103" s="597" t="n"/>
      <c r="Q103" s="593" t="n"/>
      <c r="R103" s="593" t="n"/>
      <c r="S103" s="593" t="n"/>
      <c r="T103" s="558" t="n"/>
      <c r="U103" s="211" t="n"/>
      <c r="V103" s="558" t="n"/>
      <c r="W103" s="558" t="n"/>
      <c r="X103" s="558" t="n"/>
      <c r="Y103" s="558" t="n"/>
      <c r="Z103" s="558" t="n"/>
      <c r="AA103" s="558" t="n"/>
      <c r="AB103" s="558" t="n"/>
      <c r="AC103" s="558" t="n"/>
      <c r="AD103" s="558" t="n"/>
      <c r="AE103" s="558" t="n"/>
      <c r="AF103" s="558" t="n"/>
      <c r="AG103" s="558" t="n"/>
      <c r="AH103" s="558" t="n"/>
      <c r="AI103" s="558" t="n"/>
      <c r="AJ103" s="558" t="n"/>
      <c r="AK103" s="558" t="n"/>
      <c r="AL103" s="558" t="n"/>
      <c r="AM103" s="558" t="n"/>
      <c r="AN103" s="558" t="n"/>
      <c r="AO103" s="558" t="n"/>
      <c r="AP103" s="558" t="n"/>
      <c r="AQ103" s="558" t="n"/>
      <c r="AR103" s="558" t="n"/>
      <c r="AS103" s="558" t="n"/>
      <c r="AT103" s="558" t="n"/>
      <c r="AU103" s="558" t="n"/>
      <c r="AV103" s="558" t="n"/>
      <c r="AW103" s="558" t="n"/>
      <c r="AX103" s="558" t="n"/>
      <c r="AY103" s="558" t="n"/>
      <c r="AZ103" s="558" t="n"/>
    </row>
    <row r="104" ht="15" customHeight="1" s="418">
      <c r="A104" s="659" t="n"/>
      <c r="B104" s="606" t="n"/>
      <c r="C104" s="606" t="n"/>
      <c r="D104" s="607" t="n"/>
      <c r="E104" s="607" t="n"/>
      <c r="F104" s="607" t="n"/>
      <c r="G104" s="608" t="n"/>
      <c r="H104" s="608" t="n"/>
      <c r="I104" s="608" t="n"/>
      <c r="J104" s="653" t="n"/>
      <c r="K104" s="654" t="n"/>
      <c r="L104" s="654" t="n"/>
      <c r="M104" s="654" t="n"/>
      <c r="N104" s="184">
        <f>I104-K104-M104</f>
        <v/>
      </c>
      <c r="O104" s="617" t="n"/>
      <c r="P104" s="597" t="n"/>
      <c r="Q104" s="635" t="n"/>
      <c r="R104" s="635" t="n"/>
      <c r="S104" s="635" t="n"/>
      <c r="T104" s="558" t="n"/>
      <c r="U104" s="211" t="n"/>
      <c r="V104" s="558" t="n"/>
      <c r="W104" s="558" t="n"/>
      <c r="X104" s="558" t="n"/>
      <c r="Y104" s="558" t="n"/>
      <c r="Z104" s="558" t="n"/>
      <c r="AA104" s="558" t="n"/>
      <c r="AB104" s="558" t="n"/>
      <c r="AC104" s="558" t="n"/>
      <c r="AD104" s="558" t="n"/>
      <c r="AE104" s="558" t="n"/>
      <c r="AF104" s="558" t="n"/>
      <c r="AG104" s="558" t="n"/>
      <c r="AH104" s="558" t="n"/>
      <c r="AI104" s="558" t="n"/>
      <c r="AJ104" s="558" t="n"/>
      <c r="AK104" s="558" t="n"/>
      <c r="AL104" s="558" t="n"/>
      <c r="AM104" s="558" t="n"/>
      <c r="AN104" s="558" t="n"/>
      <c r="AO104" s="558" t="n"/>
      <c r="AP104" s="558" t="n"/>
      <c r="AQ104" s="558" t="n"/>
      <c r="AR104" s="558" t="n"/>
      <c r="AS104" s="558" t="n"/>
      <c r="AT104" s="558" t="n"/>
      <c r="AU104" s="558" t="n"/>
      <c r="AV104" s="558" t="n"/>
      <c r="AW104" s="558" t="n"/>
      <c r="AX104" s="558" t="n"/>
      <c r="AY104" s="558" t="n"/>
      <c r="AZ104" s="558" t="n"/>
    </row>
    <row r="105" hidden="1" ht="15" customHeight="1" s="418">
      <c r="A105" s="630" t="n"/>
      <c r="B105" s="664" t="n"/>
      <c r="C105" s="665" t="n"/>
      <c r="D105" s="666" t="n"/>
      <c r="E105" s="666" t="n"/>
      <c r="F105" s="666" t="n"/>
      <c r="G105" s="667" t="n"/>
      <c r="H105" s="667" t="n"/>
      <c r="I105" s="668" t="n"/>
      <c r="J105" s="653" t="n"/>
      <c r="K105" s="654" t="n"/>
      <c r="L105" s="644" t="n"/>
      <c r="M105" s="564" t="n"/>
      <c r="N105" s="184">
        <f>I105-K105-M105</f>
        <v/>
      </c>
      <c r="O105" s="617" t="n"/>
      <c r="P105" s="597" t="n"/>
      <c r="Q105" s="593" t="n"/>
      <c r="R105" s="593" t="n"/>
      <c r="S105" s="593" t="n"/>
      <c r="T105" s="558" t="n"/>
      <c r="U105" s="211" t="n"/>
      <c r="V105" s="558" t="n"/>
      <c r="W105" s="558" t="n"/>
      <c r="X105" s="558" t="n"/>
      <c r="Y105" s="558" t="n"/>
      <c r="Z105" s="558" t="n"/>
      <c r="AA105" s="558" t="n"/>
      <c r="AB105" s="558" t="n"/>
      <c r="AC105" s="558" t="n"/>
      <c r="AD105" s="558" t="n"/>
      <c r="AE105" s="558" t="n"/>
      <c r="AF105" s="558" t="n"/>
      <c r="AG105" s="558" t="n"/>
      <c r="AH105" s="558" t="n"/>
      <c r="AI105" s="558" t="n"/>
      <c r="AJ105" s="558" t="n"/>
      <c r="AK105" s="558" t="n"/>
      <c r="AL105" s="558" t="n"/>
      <c r="AM105" s="558" t="n"/>
      <c r="AN105" s="558" t="n"/>
      <c r="AO105" s="558" t="n"/>
      <c r="AP105" s="558" t="n"/>
      <c r="AQ105" s="558" t="n"/>
      <c r="AR105" s="558" t="n"/>
      <c r="AS105" s="558" t="n"/>
      <c r="AT105" s="558" t="n"/>
      <c r="AU105" s="558" t="n"/>
      <c r="AV105" s="558" t="n"/>
      <c r="AW105" s="558" t="n"/>
      <c r="AX105" s="558" t="n"/>
      <c r="AY105" s="558" t="n"/>
      <c r="AZ105" s="558" t="n"/>
    </row>
    <row r="106" ht="15" customHeight="1" s="418">
      <c r="A106" s="669" t="n"/>
      <c r="B106" s="486" t="n"/>
      <c r="C106" s="486" t="n"/>
      <c r="D106" s="486" t="n"/>
      <c r="E106" s="486" t="n"/>
      <c r="F106" s="486" t="n"/>
      <c r="G106" s="486" t="n"/>
      <c r="H106" s="486" t="n"/>
      <c r="I106" s="486" t="n"/>
      <c r="J106" s="486" t="n"/>
      <c r="K106" s="486" t="n"/>
      <c r="L106" s="486" t="n"/>
      <c r="M106" s="487" t="n"/>
      <c r="N106" s="208">
        <f>SUM(N97:N105)</f>
        <v/>
      </c>
      <c r="O106" s="650" t="n"/>
      <c r="P106" s="651" t="n"/>
      <c r="Q106" s="589" t="n"/>
      <c r="R106" s="589" t="n"/>
      <c r="S106" s="589" t="n"/>
      <c r="T106" s="558" t="n"/>
      <c r="U106" s="211" t="n"/>
      <c r="V106" s="558" t="n"/>
      <c r="W106" s="558" t="n"/>
      <c r="X106" s="558" t="n"/>
      <c r="Y106" s="558" t="n"/>
      <c r="Z106" s="558" t="n"/>
      <c r="AA106" s="558" t="n"/>
      <c r="AB106" s="558" t="n"/>
      <c r="AC106" s="558" t="n"/>
      <c r="AD106" s="558" t="n"/>
      <c r="AE106" s="558" t="n"/>
      <c r="AF106" s="558" t="n"/>
      <c r="AG106" s="558" t="n"/>
      <c r="AH106" s="558" t="n"/>
      <c r="AI106" s="558" t="n"/>
      <c r="AJ106" s="558" t="n"/>
      <c r="AK106" s="558" t="n"/>
      <c r="AL106" s="558" t="n"/>
      <c r="AM106" s="558" t="n"/>
      <c r="AN106" s="558" t="n"/>
      <c r="AO106" s="558" t="n"/>
      <c r="AP106" s="558" t="n"/>
      <c r="AQ106" s="558" t="n"/>
      <c r="AR106" s="558" t="n"/>
      <c r="AS106" s="558" t="n"/>
      <c r="AT106" s="558" t="n"/>
      <c r="AU106" s="558" t="n"/>
      <c r="AV106" s="558" t="n"/>
      <c r="AW106" s="558" t="n"/>
      <c r="AX106" s="558" t="n"/>
      <c r="AY106" s="558" t="n"/>
      <c r="AZ106" s="558" t="n"/>
    </row>
    <row r="107" hidden="1" ht="15" customHeight="1" s="418">
      <c r="A107" s="543" t="n"/>
      <c r="B107" s="670" t="n"/>
      <c r="C107" s="543" t="n"/>
      <c r="D107" s="556" t="n"/>
      <c r="E107" s="556" t="n"/>
      <c r="F107" s="556" t="n"/>
      <c r="G107" s="544" t="n"/>
      <c r="H107" s="544" t="n"/>
      <c r="I107" s="662" t="n"/>
      <c r="J107" s="653" t="n"/>
      <c r="K107" s="654" t="n"/>
      <c r="L107" s="644" t="n"/>
      <c r="M107" s="295" t="n"/>
      <c r="N107" s="184">
        <f>I107-K107-M107</f>
        <v/>
      </c>
      <c r="O107" s="617" t="n"/>
      <c r="P107" s="597" t="n"/>
      <c r="Q107" s="593" t="n"/>
      <c r="R107" s="593" t="n"/>
      <c r="S107" s="593" t="n"/>
      <c r="T107" s="558" t="n"/>
      <c r="U107" s="211" t="n"/>
      <c r="V107" s="558" t="n"/>
      <c r="W107" s="558" t="n"/>
      <c r="X107" s="558" t="n"/>
      <c r="Y107" s="558" t="n"/>
      <c r="Z107" s="558" t="n"/>
      <c r="AA107" s="558" t="n"/>
      <c r="AB107" s="558" t="n"/>
      <c r="AC107" s="558" t="n"/>
      <c r="AD107" s="558" t="n"/>
      <c r="AE107" s="558" t="n"/>
      <c r="AF107" s="558" t="n"/>
      <c r="AG107" s="558" t="n"/>
      <c r="AH107" s="558" t="n"/>
      <c r="AI107" s="558" t="n"/>
      <c r="AJ107" s="558" t="n"/>
      <c r="AK107" s="558" t="n"/>
      <c r="AL107" s="558" t="n"/>
      <c r="AM107" s="558" t="n"/>
      <c r="AN107" s="558" t="n"/>
      <c r="AO107" s="558" t="n"/>
      <c r="AP107" s="558" t="n"/>
      <c r="AQ107" s="558" t="n"/>
      <c r="AR107" s="558" t="n"/>
      <c r="AS107" s="558" t="n"/>
      <c r="AT107" s="558" t="n"/>
      <c r="AU107" s="558" t="n"/>
      <c r="AV107" s="558" t="n"/>
      <c r="AW107" s="558" t="n"/>
      <c r="AX107" s="558" t="n"/>
      <c r="AY107" s="558" t="n"/>
      <c r="AZ107" s="558" t="n"/>
    </row>
    <row r="108" hidden="1" ht="15" customHeight="1" s="418">
      <c r="A108" s="543" t="n"/>
      <c r="B108" s="670" t="n"/>
      <c r="C108" s="543" t="n"/>
      <c r="D108" s="556" t="n"/>
      <c r="E108" s="556" t="n"/>
      <c r="F108" s="556" t="n"/>
      <c r="G108" s="544" t="n"/>
      <c r="H108" s="544" t="n"/>
      <c r="I108" s="662" t="n"/>
      <c r="J108" s="653" t="n"/>
      <c r="K108" s="654" t="n"/>
      <c r="L108" s="644" t="n"/>
      <c r="M108" s="295" t="n"/>
      <c r="N108" s="184">
        <f>I108-K108-M108</f>
        <v/>
      </c>
      <c r="O108" s="617" t="n"/>
      <c r="P108" s="597" t="n"/>
      <c r="Q108" s="593" t="n"/>
      <c r="R108" s="593" t="n"/>
      <c r="S108" s="593" t="n"/>
      <c r="T108" s="558" t="n"/>
      <c r="U108" s="211" t="n"/>
      <c r="V108" s="558" t="n"/>
      <c r="W108" s="558" t="n"/>
      <c r="X108" s="558" t="n"/>
      <c r="Y108" s="558" t="n"/>
      <c r="Z108" s="558" t="n"/>
      <c r="AA108" s="558" t="n"/>
      <c r="AB108" s="558" t="n"/>
      <c r="AC108" s="558" t="n"/>
      <c r="AD108" s="558" t="n"/>
      <c r="AE108" s="558" t="n"/>
      <c r="AF108" s="558" t="n"/>
      <c r="AG108" s="558" t="n"/>
      <c r="AH108" s="558" t="n"/>
      <c r="AI108" s="558" t="n"/>
      <c r="AJ108" s="558" t="n"/>
      <c r="AK108" s="558" t="n"/>
      <c r="AL108" s="558" t="n"/>
      <c r="AM108" s="558" t="n"/>
      <c r="AN108" s="558" t="n"/>
      <c r="AO108" s="558" t="n"/>
      <c r="AP108" s="558" t="n"/>
      <c r="AQ108" s="558" t="n"/>
      <c r="AR108" s="558" t="n"/>
      <c r="AS108" s="558" t="n"/>
      <c r="AT108" s="558" t="n"/>
      <c r="AU108" s="558" t="n"/>
      <c r="AV108" s="558" t="n"/>
      <c r="AW108" s="558" t="n"/>
      <c r="AX108" s="558" t="n"/>
      <c r="AY108" s="558" t="n"/>
      <c r="AZ108" s="558" t="n"/>
    </row>
    <row r="109" hidden="1" ht="15" customHeight="1" s="418">
      <c r="A109" s="543" t="n"/>
      <c r="B109" s="670" t="n"/>
      <c r="C109" s="543" t="n"/>
      <c r="D109" s="556" t="n"/>
      <c r="E109" s="556" t="n"/>
      <c r="F109" s="556" t="n"/>
      <c r="G109" s="544" t="n"/>
      <c r="H109" s="544" t="n"/>
      <c r="I109" s="662" t="n"/>
      <c r="J109" s="653" t="n"/>
      <c r="K109" s="654" t="n"/>
      <c r="L109" s="644" t="n"/>
      <c r="M109" s="295" t="n"/>
      <c r="N109" s="184">
        <f>I109-K109-M109</f>
        <v/>
      </c>
      <c r="O109" s="617" t="n"/>
      <c r="P109" s="543" t="n"/>
      <c r="Q109" s="593" t="n"/>
      <c r="R109" s="593" t="n"/>
      <c r="S109" s="593" t="n"/>
      <c r="T109" s="558" t="n"/>
      <c r="U109" s="211" t="n"/>
      <c r="V109" s="558" t="n"/>
      <c r="W109" s="558" t="n"/>
      <c r="X109" s="558" t="n"/>
      <c r="Y109" s="558" t="n"/>
      <c r="Z109" s="558" t="n"/>
      <c r="AA109" s="558" t="n"/>
      <c r="AB109" s="558" t="n"/>
      <c r="AC109" s="558" t="n"/>
      <c r="AD109" s="558" t="n"/>
      <c r="AE109" s="558" t="n"/>
      <c r="AF109" s="558" t="n"/>
      <c r="AG109" s="558" t="n"/>
      <c r="AH109" s="558" t="n"/>
      <c r="AI109" s="558" t="n"/>
      <c r="AJ109" s="558" t="n"/>
      <c r="AK109" s="558" t="n"/>
      <c r="AL109" s="558" t="n"/>
      <c r="AM109" s="558" t="n"/>
      <c r="AN109" s="558" t="n"/>
      <c r="AO109" s="558" t="n"/>
      <c r="AP109" s="558" t="n"/>
      <c r="AQ109" s="558" t="n"/>
      <c r="AR109" s="558" t="n"/>
      <c r="AS109" s="558" t="n"/>
      <c r="AT109" s="558" t="n"/>
      <c r="AU109" s="558" t="n"/>
      <c r="AV109" s="558" t="n"/>
      <c r="AW109" s="558" t="n"/>
      <c r="AX109" s="558" t="n"/>
      <c r="AY109" s="558" t="n"/>
      <c r="AZ109" s="558" t="n"/>
    </row>
    <row r="110" hidden="1" ht="15" customHeight="1" s="418">
      <c r="A110" s="543" t="n"/>
      <c r="B110" s="670" t="n"/>
      <c r="C110" s="543" t="n"/>
      <c r="D110" s="556" t="n"/>
      <c r="E110" s="556" t="n"/>
      <c r="F110" s="556" t="n"/>
      <c r="G110" s="544" t="n"/>
      <c r="H110" s="544" t="n"/>
      <c r="I110" s="662" t="n"/>
      <c r="J110" s="653" t="n"/>
      <c r="K110" s="654" t="n"/>
      <c r="L110" s="644" t="n"/>
      <c r="M110" s="295" t="n"/>
      <c r="N110" s="184">
        <f>I110-K110-M110</f>
        <v/>
      </c>
      <c r="O110" s="617" t="n"/>
      <c r="P110" s="543" t="n"/>
      <c r="Q110" s="593" t="n"/>
      <c r="R110" s="593" t="n"/>
      <c r="S110" s="593" t="n"/>
      <c r="T110" s="558" t="n"/>
      <c r="U110" s="211" t="n"/>
      <c r="V110" s="558" t="n"/>
      <c r="W110" s="558" t="n"/>
      <c r="X110" s="558" t="n"/>
      <c r="Y110" s="558" t="n"/>
      <c r="Z110" s="558" t="n"/>
      <c r="AA110" s="558" t="n"/>
      <c r="AB110" s="558" t="n"/>
      <c r="AC110" s="558" t="n"/>
      <c r="AD110" s="558" t="n"/>
      <c r="AE110" s="558" t="n"/>
      <c r="AF110" s="558" t="n"/>
      <c r="AG110" s="558" t="n"/>
      <c r="AH110" s="558" t="n"/>
      <c r="AI110" s="558" t="n"/>
      <c r="AJ110" s="558" t="n"/>
      <c r="AK110" s="558" t="n"/>
      <c r="AL110" s="558" t="n"/>
      <c r="AM110" s="558" t="n"/>
      <c r="AN110" s="558" t="n"/>
      <c r="AO110" s="558" t="n"/>
      <c r="AP110" s="558" t="n"/>
      <c r="AQ110" s="558" t="n"/>
      <c r="AR110" s="558" t="n"/>
      <c r="AS110" s="558" t="n"/>
      <c r="AT110" s="558" t="n"/>
      <c r="AU110" s="558" t="n"/>
      <c r="AV110" s="558" t="n"/>
      <c r="AW110" s="558" t="n"/>
      <c r="AX110" s="558" t="n"/>
      <c r="AY110" s="558" t="n"/>
      <c r="AZ110" s="558" t="n"/>
    </row>
    <row r="111" hidden="1" ht="15" customHeight="1" s="418">
      <c r="A111" s="543" t="n"/>
      <c r="B111" s="670" t="n"/>
      <c r="C111" s="543" t="n"/>
      <c r="D111" s="556" t="n"/>
      <c r="E111" s="556" t="n"/>
      <c r="F111" s="556" t="n"/>
      <c r="G111" s="544" t="n"/>
      <c r="H111" s="544" t="n"/>
      <c r="I111" s="662" t="n"/>
      <c r="J111" s="653" t="n"/>
      <c r="K111" s="654" t="n"/>
      <c r="L111" s="644" t="n"/>
      <c r="M111" s="295" t="n"/>
      <c r="N111" s="184">
        <f>I111-K111-M111</f>
        <v/>
      </c>
      <c r="O111" s="617" t="n"/>
      <c r="P111" s="543" t="n"/>
      <c r="Q111" s="593" t="n"/>
      <c r="R111" s="593" t="n"/>
      <c r="S111" s="593" t="n"/>
      <c r="T111" s="558" t="n"/>
      <c r="U111" s="211" t="n"/>
      <c r="V111" s="558" t="n"/>
      <c r="W111" s="558" t="n"/>
      <c r="X111" s="558" t="n"/>
      <c r="Y111" s="558" t="n"/>
      <c r="Z111" s="558" t="n"/>
      <c r="AA111" s="558" t="n"/>
      <c r="AB111" s="558" t="n"/>
      <c r="AC111" s="558" t="n"/>
      <c r="AD111" s="558" t="n"/>
      <c r="AE111" s="558" t="n"/>
      <c r="AF111" s="558" t="n"/>
      <c r="AG111" s="558" t="n"/>
      <c r="AH111" s="558" t="n"/>
      <c r="AI111" s="558" t="n"/>
      <c r="AJ111" s="558" t="n"/>
      <c r="AK111" s="558" t="n"/>
      <c r="AL111" s="558" t="n"/>
      <c r="AM111" s="558" t="n"/>
      <c r="AN111" s="558" t="n"/>
      <c r="AO111" s="558" t="n"/>
      <c r="AP111" s="558" t="n"/>
      <c r="AQ111" s="558" t="n"/>
      <c r="AR111" s="558" t="n"/>
      <c r="AS111" s="558" t="n"/>
      <c r="AT111" s="558" t="n"/>
      <c r="AU111" s="558" t="n"/>
      <c r="AV111" s="558" t="n"/>
      <c r="AW111" s="558" t="n"/>
      <c r="AX111" s="558" t="n"/>
      <c r="AY111" s="558" t="n"/>
      <c r="AZ111" s="558" t="n"/>
    </row>
    <row r="112" hidden="1" ht="15" customHeight="1" s="418">
      <c r="A112" s="543" t="n"/>
      <c r="B112" s="670" t="n"/>
      <c r="C112" s="543" t="n"/>
      <c r="D112" s="556" t="n"/>
      <c r="E112" s="556" t="n"/>
      <c r="F112" s="556" t="n"/>
      <c r="G112" s="544" t="n"/>
      <c r="H112" s="544" t="n"/>
      <c r="I112" s="662" t="n"/>
      <c r="J112" s="653" t="n"/>
      <c r="K112" s="654" t="n"/>
      <c r="L112" s="644" t="n"/>
      <c r="M112" s="295" t="n"/>
      <c r="N112" s="184">
        <f>I112-K112-M112</f>
        <v/>
      </c>
      <c r="O112" s="617" t="n"/>
      <c r="P112" s="597" t="n"/>
      <c r="Q112" s="593" t="n"/>
      <c r="R112" s="593" t="n"/>
      <c r="S112" s="593" t="n"/>
      <c r="T112" s="558" t="n"/>
      <c r="U112" s="211" t="n"/>
      <c r="V112" s="558" t="n"/>
      <c r="W112" s="558" t="n"/>
      <c r="X112" s="558" t="n"/>
      <c r="Y112" s="558" t="n"/>
      <c r="Z112" s="558" t="n"/>
      <c r="AA112" s="558" t="n"/>
      <c r="AB112" s="558" t="n"/>
      <c r="AC112" s="558" t="n"/>
      <c r="AD112" s="558" t="n"/>
      <c r="AE112" s="558" t="n"/>
      <c r="AF112" s="558" t="n"/>
      <c r="AG112" s="558" t="n"/>
      <c r="AH112" s="558" t="n"/>
      <c r="AI112" s="558" t="n"/>
      <c r="AJ112" s="558" t="n"/>
      <c r="AK112" s="558" t="n"/>
      <c r="AL112" s="558" t="n"/>
      <c r="AM112" s="558" t="n"/>
      <c r="AN112" s="558" t="n"/>
      <c r="AO112" s="558" t="n"/>
      <c r="AP112" s="558" t="n"/>
      <c r="AQ112" s="558" t="n"/>
      <c r="AR112" s="558" t="n"/>
      <c r="AS112" s="558" t="n"/>
      <c r="AT112" s="558" t="n"/>
      <c r="AU112" s="558" t="n"/>
      <c r="AV112" s="558" t="n"/>
      <c r="AW112" s="558" t="n"/>
      <c r="AX112" s="558" t="n"/>
      <c r="AY112" s="558" t="n"/>
      <c r="AZ112" s="558" t="n"/>
    </row>
    <row r="113" hidden="1" ht="15" customHeight="1" s="418">
      <c r="A113" s="543" t="n"/>
      <c r="B113" s="670" t="n"/>
      <c r="C113" s="543" t="n"/>
      <c r="D113" s="556" t="n"/>
      <c r="E113" s="556" t="n"/>
      <c r="F113" s="556" t="n"/>
      <c r="G113" s="544" t="n"/>
      <c r="H113" s="544" t="n"/>
      <c r="I113" s="662" t="n"/>
      <c r="J113" s="653" t="n"/>
      <c r="K113" s="654" t="n"/>
      <c r="L113" s="644" t="n"/>
      <c r="M113" s="295" t="n"/>
      <c r="N113" s="184">
        <f>I113-K113-M113</f>
        <v/>
      </c>
      <c r="O113" s="617" t="n"/>
      <c r="P113" s="597" t="n"/>
      <c r="Q113" s="593" t="n"/>
      <c r="R113" s="593" t="n"/>
      <c r="S113" s="593" t="n"/>
      <c r="T113" s="558" t="n"/>
      <c r="U113" s="211" t="n"/>
      <c r="V113" s="558" t="n"/>
      <c r="W113" s="558" t="n"/>
      <c r="X113" s="558" t="n"/>
      <c r="Y113" s="558" t="n"/>
      <c r="Z113" s="558" t="n"/>
      <c r="AA113" s="558" t="n"/>
      <c r="AB113" s="558" t="n"/>
      <c r="AC113" s="558" t="n"/>
      <c r="AD113" s="558" t="n"/>
      <c r="AE113" s="558" t="n"/>
      <c r="AF113" s="558" t="n"/>
      <c r="AG113" s="558" t="n"/>
      <c r="AH113" s="558" t="n"/>
      <c r="AI113" s="558" t="n"/>
      <c r="AJ113" s="558" t="n"/>
      <c r="AK113" s="558" t="n"/>
      <c r="AL113" s="558" t="n"/>
      <c r="AM113" s="558" t="n"/>
      <c r="AN113" s="558" t="n"/>
      <c r="AO113" s="558" t="n"/>
      <c r="AP113" s="558" t="n"/>
      <c r="AQ113" s="558" t="n"/>
      <c r="AR113" s="558" t="n"/>
      <c r="AS113" s="558" t="n"/>
      <c r="AT113" s="558" t="n"/>
      <c r="AU113" s="558" t="n"/>
      <c r="AV113" s="558" t="n"/>
      <c r="AW113" s="558" t="n"/>
      <c r="AX113" s="558" t="n"/>
      <c r="AY113" s="558" t="n"/>
      <c r="AZ113" s="558" t="n"/>
    </row>
    <row r="114" hidden="1" ht="15" customHeight="1" s="418">
      <c r="A114" s="543" t="n"/>
      <c r="B114" s="670" t="n"/>
      <c r="C114" s="543" t="n"/>
      <c r="D114" s="556" t="n"/>
      <c r="E114" s="556" t="n"/>
      <c r="F114" s="556" t="n"/>
      <c r="G114" s="544" t="n"/>
      <c r="H114" s="544" t="n"/>
      <c r="I114" s="662" t="n"/>
      <c r="J114" s="653" t="n"/>
      <c r="K114" s="654" t="n"/>
      <c r="L114" s="644" t="n"/>
      <c r="M114" s="295" t="n"/>
      <c r="N114" s="184">
        <f>I114-K114-M114</f>
        <v/>
      </c>
      <c r="O114" s="617" t="n"/>
      <c r="P114" s="597" t="n"/>
      <c r="Q114" s="593" t="n"/>
      <c r="R114" s="593" t="n"/>
      <c r="S114" s="593" t="n"/>
      <c r="T114" s="558" t="n"/>
      <c r="U114" s="211" t="n"/>
      <c r="V114" s="558" t="n"/>
      <c r="W114" s="558" t="n"/>
      <c r="X114" s="558" t="n"/>
      <c r="Y114" s="558" t="n"/>
      <c r="Z114" s="558" t="n"/>
      <c r="AA114" s="558" t="n"/>
      <c r="AB114" s="558" t="n"/>
      <c r="AC114" s="558" t="n"/>
      <c r="AD114" s="558" t="n"/>
      <c r="AE114" s="558" t="n"/>
      <c r="AF114" s="558" t="n"/>
      <c r="AG114" s="558" t="n"/>
      <c r="AH114" s="558" t="n"/>
      <c r="AI114" s="558" t="n"/>
      <c r="AJ114" s="558" t="n"/>
      <c r="AK114" s="558" t="n"/>
      <c r="AL114" s="558" t="n"/>
      <c r="AM114" s="558" t="n"/>
      <c r="AN114" s="558" t="n"/>
      <c r="AO114" s="558" t="n"/>
      <c r="AP114" s="558" t="n"/>
      <c r="AQ114" s="558" t="n"/>
      <c r="AR114" s="558" t="n"/>
      <c r="AS114" s="558" t="n"/>
      <c r="AT114" s="558" t="n"/>
      <c r="AU114" s="558" t="n"/>
      <c r="AV114" s="558" t="n"/>
      <c r="AW114" s="558" t="n"/>
      <c r="AX114" s="558" t="n"/>
      <c r="AY114" s="558" t="n"/>
      <c r="AZ114" s="558" t="n"/>
    </row>
    <row r="115" hidden="1" ht="13.5" customHeight="1" s="418">
      <c r="A115" s="587" t="n"/>
      <c r="B115" s="486" t="n"/>
      <c r="C115" s="486" t="n"/>
      <c r="D115" s="486" t="n"/>
      <c r="E115" s="486" t="n"/>
      <c r="F115" s="486" t="n"/>
      <c r="G115" s="486" t="n"/>
      <c r="H115" s="486" t="n"/>
      <c r="I115" s="486" t="n"/>
      <c r="J115" s="486" t="n"/>
      <c r="K115" s="486" t="n"/>
      <c r="L115" s="486" t="n"/>
      <c r="M115" s="487" t="n"/>
      <c r="N115" s="208">
        <f>SUM(N107:O114)</f>
        <v/>
      </c>
      <c r="O115" s="650" t="n"/>
      <c r="P115" s="588" t="n"/>
      <c r="Q115" s="589" t="n"/>
      <c r="R115" s="589" t="n"/>
      <c r="S115" s="589" t="n"/>
      <c r="T115" s="558" t="n"/>
      <c r="U115" s="211" t="n"/>
      <c r="V115" s="558" t="n"/>
      <c r="W115" s="558" t="n"/>
      <c r="X115" s="558" t="n"/>
      <c r="Y115" s="558" t="n"/>
      <c r="Z115" s="558" t="n"/>
      <c r="AA115" s="558" t="n"/>
      <c r="AB115" s="558" t="n"/>
      <c r="AC115" s="558" t="n"/>
      <c r="AD115" s="558" t="n"/>
      <c r="AE115" s="558" t="n"/>
      <c r="AF115" s="558" t="n"/>
      <c r="AG115" s="558" t="n"/>
      <c r="AH115" s="558" t="n"/>
      <c r="AI115" s="558" t="n"/>
      <c r="AJ115" s="558" t="n"/>
      <c r="AK115" s="558" t="n"/>
      <c r="AL115" s="558" t="n"/>
      <c r="AM115" s="558" t="n"/>
      <c r="AN115" s="558" t="n"/>
      <c r="AO115" s="558" t="n"/>
      <c r="AP115" s="558" t="n"/>
      <c r="AQ115" s="558" t="n"/>
      <c r="AR115" s="558" t="n"/>
      <c r="AS115" s="558" t="n"/>
      <c r="AT115" s="558" t="n"/>
      <c r="AU115" s="558" t="n"/>
      <c r="AV115" s="558" t="n"/>
      <c r="AW115" s="558" t="n"/>
      <c r="AX115" s="558" t="n"/>
      <c r="AY115" s="558" t="n"/>
      <c r="AZ115" s="558" t="n"/>
    </row>
    <row r="116" hidden="1" ht="15" customHeight="1" s="418">
      <c r="A116" s="630" t="n"/>
      <c r="B116" s="671" t="n"/>
      <c r="C116" s="672" t="n"/>
      <c r="D116" s="673" t="n"/>
      <c r="E116" s="673" t="n"/>
      <c r="F116" s="673" t="n"/>
      <c r="G116" s="674" t="n"/>
      <c r="H116" s="674" t="n"/>
      <c r="I116" s="675" t="n"/>
      <c r="J116" s="676" t="n"/>
      <c r="K116" s="677" t="n"/>
      <c r="L116" s="678" t="n"/>
      <c r="M116" s="679" t="n"/>
      <c r="N116" s="184">
        <f>I116-K116-M116</f>
        <v/>
      </c>
      <c r="O116" s="617" t="n"/>
      <c r="P116" s="597" t="n"/>
      <c r="Q116" s="593" t="n"/>
      <c r="R116" s="593" t="n"/>
      <c r="S116" s="593" t="n"/>
      <c r="T116" s="558" t="n"/>
      <c r="U116" s="211" t="n"/>
      <c r="V116" s="558" t="n"/>
      <c r="W116" s="558" t="n"/>
      <c r="X116" s="558" t="n"/>
      <c r="Y116" s="558" t="n"/>
      <c r="Z116" s="558" t="n"/>
      <c r="AA116" s="558" t="n"/>
      <c r="AB116" s="558" t="n"/>
      <c r="AC116" s="558" t="n"/>
      <c r="AD116" s="558" t="n"/>
      <c r="AE116" s="558" t="n"/>
      <c r="AF116" s="558" t="n"/>
      <c r="AG116" s="558" t="n"/>
      <c r="AH116" s="558" t="n"/>
      <c r="AI116" s="558" t="n"/>
      <c r="AJ116" s="558" t="n"/>
      <c r="AK116" s="558" t="n"/>
      <c r="AL116" s="558" t="n"/>
      <c r="AM116" s="558" t="n"/>
      <c r="AN116" s="558" t="n"/>
      <c r="AO116" s="558" t="n"/>
      <c r="AP116" s="558" t="n"/>
      <c r="AQ116" s="558" t="n"/>
      <c r="AR116" s="558" t="n"/>
      <c r="AS116" s="558" t="n"/>
      <c r="AT116" s="558" t="n"/>
      <c r="AU116" s="558" t="n"/>
      <c r="AV116" s="558" t="n"/>
      <c r="AW116" s="558" t="n"/>
      <c r="AX116" s="558" t="n"/>
      <c r="AY116" s="558" t="n"/>
      <c r="AZ116" s="558" t="n"/>
    </row>
    <row r="117" hidden="1" ht="15" customHeight="1" s="418">
      <c r="A117" s="630" t="n"/>
      <c r="B117" s="680" t="n"/>
      <c r="C117" s="630" t="n"/>
      <c r="D117" s="631" t="n"/>
      <c r="E117" s="631" t="n"/>
      <c r="F117" s="631" t="n"/>
      <c r="G117" s="632" t="n"/>
      <c r="H117" s="632" t="n"/>
      <c r="I117" s="681" t="n"/>
      <c r="J117" s="676" t="n"/>
      <c r="K117" s="677" t="n"/>
      <c r="L117" s="678" t="n"/>
      <c r="M117" s="679" t="n"/>
      <c r="N117" s="184">
        <f>I117-K117-M117</f>
        <v/>
      </c>
      <c r="O117" s="617" t="n"/>
      <c r="P117" s="597" t="n"/>
      <c r="Q117" s="593" t="n"/>
      <c r="R117" s="593" t="n"/>
      <c r="S117" s="593" t="n"/>
      <c r="T117" s="558" t="n"/>
      <c r="U117" s="211" t="n"/>
      <c r="V117" s="558" t="n"/>
      <c r="W117" s="558" t="n"/>
      <c r="X117" s="558" t="n"/>
      <c r="Y117" s="558" t="n"/>
      <c r="Z117" s="558" t="n"/>
      <c r="AA117" s="558" t="n"/>
      <c r="AB117" s="558" t="n"/>
      <c r="AC117" s="558" t="n"/>
      <c r="AD117" s="558" t="n"/>
      <c r="AE117" s="558" t="n"/>
      <c r="AF117" s="558" t="n"/>
      <c r="AG117" s="558" t="n"/>
      <c r="AH117" s="558" t="n"/>
      <c r="AI117" s="558" t="n"/>
      <c r="AJ117" s="558" t="n"/>
      <c r="AK117" s="558" t="n"/>
      <c r="AL117" s="558" t="n"/>
      <c r="AM117" s="558" t="n"/>
      <c r="AN117" s="558" t="n"/>
      <c r="AO117" s="558" t="n"/>
      <c r="AP117" s="558" t="n"/>
      <c r="AQ117" s="558" t="n"/>
      <c r="AR117" s="558" t="n"/>
      <c r="AS117" s="558" t="n"/>
      <c r="AT117" s="558" t="n"/>
      <c r="AU117" s="558" t="n"/>
      <c r="AV117" s="558" t="n"/>
      <c r="AW117" s="558" t="n"/>
      <c r="AX117" s="558" t="n"/>
      <c r="AY117" s="558" t="n"/>
      <c r="AZ117" s="558" t="n"/>
    </row>
    <row r="118" hidden="1" ht="15" customHeight="1" s="418">
      <c r="A118" s="630" t="n"/>
      <c r="B118" s="680" t="n"/>
      <c r="C118" s="630" t="n"/>
      <c r="D118" s="631" t="n"/>
      <c r="E118" s="631" t="n"/>
      <c r="F118" s="631" t="n"/>
      <c r="G118" s="632" t="n"/>
      <c r="H118" s="632" t="n"/>
      <c r="I118" s="681" t="n"/>
      <c r="J118" s="676" t="n"/>
      <c r="K118" s="677" t="n"/>
      <c r="L118" s="678" t="n"/>
      <c r="M118" s="679" t="n"/>
      <c r="N118" s="184">
        <f>I118-K118-M118</f>
        <v/>
      </c>
      <c r="O118" s="617" t="n"/>
      <c r="P118" s="597" t="n"/>
      <c r="Q118" s="593" t="n"/>
      <c r="R118" s="593" t="n"/>
      <c r="S118" s="593" t="n"/>
      <c r="T118" s="558" t="n"/>
      <c r="U118" s="211" t="n"/>
      <c r="V118" s="558" t="n"/>
      <c r="W118" s="558" t="n"/>
      <c r="X118" s="558" t="n"/>
      <c r="Y118" s="558" t="n"/>
      <c r="Z118" s="558" t="n"/>
      <c r="AA118" s="558" t="n"/>
      <c r="AB118" s="558" t="n"/>
      <c r="AC118" s="558" t="n"/>
      <c r="AD118" s="558" t="n"/>
      <c r="AE118" s="558" t="n"/>
      <c r="AF118" s="558" t="n"/>
      <c r="AG118" s="558" t="n"/>
      <c r="AH118" s="558" t="n"/>
      <c r="AI118" s="558" t="n"/>
      <c r="AJ118" s="558" t="n"/>
      <c r="AK118" s="558" t="n"/>
      <c r="AL118" s="558" t="n"/>
      <c r="AM118" s="558" t="n"/>
      <c r="AN118" s="558" t="n"/>
      <c r="AO118" s="558" t="n"/>
      <c r="AP118" s="558" t="n"/>
      <c r="AQ118" s="558" t="n"/>
      <c r="AR118" s="558" t="n"/>
      <c r="AS118" s="558" t="n"/>
      <c r="AT118" s="558" t="n"/>
      <c r="AU118" s="558" t="n"/>
      <c r="AV118" s="558" t="n"/>
      <c r="AW118" s="558" t="n"/>
      <c r="AX118" s="558" t="n"/>
      <c r="AY118" s="558" t="n"/>
      <c r="AZ118" s="558" t="n"/>
    </row>
    <row r="119" hidden="1" ht="15" customHeight="1" s="418">
      <c r="A119" s="630" t="n"/>
      <c r="B119" s="680" t="n"/>
      <c r="C119" s="630" t="n"/>
      <c r="D119" s="631" t="n"/>
      <c r="E119" s="631" t="n"/>
      <c r="F119" s="631" t="n"/>
      <c r="G119" s="632" t="n"/>
      <c r="H119" s="632" t="n"/>
      <c r="I119" s="681" t="n"/>
      <c r="J119" s="676" t="n"/>
      <c r="K119" s="677" t="n"/>
      <c r="L119" s="678" t="n"/>
      <c r="M119" s="679" t="n"/>
      <c r="N119" s="184">
        <f>I119-K119-M119</f>
        <v/>
      </c>
      <c r="O119" s="617" t="n"/>
      <c r="P119" s="597" t="n"/>
      <c r="Q119" s="593" t="n"/>
      <c r="R119" s="593" t="n"/>
      <c r="S119" s="593" t="n"/>
      <c r="T119" s="558" t="n"/>
      <c r="U119" s="211" t="n"/>
      <c r="V119" s="558" t="n"/>
      <c r="W119" s="558" t="n"/>
      <c r="X119" s="558" t="n"/>
      <c r="Y119" s="558" t="n"/>
      <c r="Z119" s="558" t="n"/>
      <c r="AA119" s="558" t="n"/>
      <c r="AB119" s="558" t="n"/>
      <c r="AC119" s="558" t="n"/>
      <c r="AD119" s="558" t="n"/>
      <c r="AE119" s="558" t="n"/>
      <c r="AF119" s="558" t="n"/>
      <c r="AG119" s="558" t="n"/>
      <c r="AH119" s="558" t="n"/>
      <c r="AI119" s="558" t="n"/>
      <c r="AJ119" s="558" t="n"/>
      <c r="AK119" s="558" t="n"/>
      <c r="AL119" s="558" t="n"/>
      <c r="AM119" s="558" t="n"/>
      <c r="AN119" s="558" t="n"/>
      <c r="AO119" s="558" t="n"/>
      <c r="AP119" s="558" t="n"/>
      <c r="AQ119" s="558" t="n"/>
      <c r="AR119" s="558" t="n"/>
      <c r="AS119" s="558" t="n"/>
      <c r="AT119" s="558" t="n"/>
      <c r="AU119" s="558" t="n"/>
      <c r="AV119" s="558" t="n"/>
      <c r="AW119" s="558" t="n"/>
      <c r="AX119" s="558" t="n"/>
      <c r="AY119" s="558" t="n"/>
      <c r="AZ119" s="558" t="n"/>
    </row>
    <row r="120" hidden="1" ht="15" customHeight="1" s="418">
      <c r="A120" s="630" t="n"/>
      <c r="B120" s="680" t="n"/>
      <c r="C120" s="630" t="n"/>
      <c r="D120" s="631" t="n"/>
      <c r="E120" s="631" t="n"/>
      <c r="F120" s="631" t="n"/>
      <c r="G120" s="632" t="n"/>
      <c r="H120" s="632" t="n"/>
      <c r="I120" s="681" t="n"/>
      <c r="J120" s="676" t="n"/>
      <c r="K120" s="677" t="n"/>
      <c r="L120" s="678" t="n"/>
      <c r="M120" s="679" t="n"/>
      <c r="N120" s="184">
        <f>I120-K120-M120</f>
        <v/>
      </c>
      <c r="O120" s="617" t="n"/>
      <c r="P120" s="597" t="n"/>
      <c r="Q120" s="593" t="n"/>
      <c r="R120" s="593" t="n"/>
      <c r="S120" s="593" t="n"/>
      <c r="T120" s="558" t="n"/>
      <c r="U120" s="211" t="n"/>
      <c r="V120" s="558" t="n"/>
      <c r="W120" s="558" t="n"/>
      <c r="X120" s="558" t="n"/>
      <c r="Y120" s="558" t="n"/>
      <c r="Z120" s="558" t="n"/>
      <c r="AA120" s="558" t="n"/>
      <c r="AB120" s="558" t="n"/>
      <c r="AC120" s="558" t="n"/>
      <c r="AD120" s="558" t="n"/>
      <c r="AE120" s="558" t="n"/>
      <c r="AF120" s="558" t="n"/>
      <c r="AG120" s="558" t="n"/>
      <c r="AH120" s="558" t="n"/>
      <c r="AI120" s="558" t="n"/>
      <c r="AJ120" s="558" t="n"/>
      <c r="AK120" s="558" t="n"/>
      <c r="AL120" s="558" t="n"/>
      <c r="AM120" s="558" t="n"/>
      <c r="AN120" s="558" t="n"/>
      <c r="AO120" s="558" t="n"/>
      <c r="AP120" s="558" t="n"/>
      <c r="AQ120" s="558" t="n"/>
      <c r="AR120" s="558" t="n"/>
      <c r="AS120" s="558" t="n"/>
      <c r="AT120" s="558" t="n"/>
      <c r="AU120" s="558" t="n"/>
      <c r="AV120" s="558" t="n"/>
      <c r="AW120" s="558" t="n"/>
      <c r="AX120" s="558" t="n"/>
      <c r="AY120" s="558" t="n"/>
      <c r="AZ120" s="558" t="n"/>
    </row>
    <row r="121" hidden="1" ht="15" customHeight="1" s="418">
      <c r="A121" s="630" t="n"/>
      <c r="B121" s="680" t="n"/>
      <c r="C121" s="630" t="n"/>
      <c r="D121" s="631" t="n"/>
      <c r="E121" s="631" t="n"/>
      <c r="F121" s="631" t="n"/>
      <c r="G121" s="632" t="n"/>
      <c r="H121" s="632" t="n"/>
      <c r="I121" s="681" t="n"/>
      <c r="J121" s="676" t="n"/>
      <c r="K121" s="677" t="n"/>
      <c r="L121" s="678" t="n"/>
      <c r="M121" s="679" t="n"/>
      <c r="N121" s="184">
        <f>I121-K121-M121</f>
        <v/>
      </c>
      <c r="O121" s="617" t="n"/>
      <c r="P121" s="597" t="n"/>
      <c r="Q121" s="593" t="n"/>
      <c r="R121" s="593" t="n"/>
      <c r="S121" s="593" t="n"/>
      <c r="T121" s="558" t="n"/>
      <c r="U121" s="211" t="n"/>
      <c r="V121" s="558" t="n"/>
      <c r="W121" s="558" t="n"/>
      <c r="X121" s="558" t="n"/>
      <c r="Y121" s="558" t="n"/>
      <c r="Z121" s="558" t="n"/>
      <c r="AA121" s="558" t="n"/>
      <c r="AB121" s="558" t="n"/>
      <c r="AC121" s="558" t="n"/>
      <c r="AD121" s="558" t="n"/>
      <c r="AE121" s="558" t="n"/>
      <c r="AF121" s="558" t="n"/>
      <c r="AG121" s="558" t="n"/>
      <c r="AH121" s="558" t="n"/>
      <c r="AI121" s="558" t="n"/>
      <c r="AJ121" s="558" t="n"/>
      <c r="AK121" s="558" t="n"/>
      <c r="AL121" s="558" t="n"/>
      <c r="AM121" s="558" t="n"/>
      <c r="AN121" s="558" t="n"/>
      <c r="AO121" s="558" t="n"/>
      <c r="AP121" s="558" t="n"/>
      <c r="AQ121" s="558" t="n"/>
      <c r="AR121" s="558" t="n"/>
      <c r="AS121" s="558" t="n"/>
      <c r="AT121" s="558" t="n"/>
      <c r="AU121" s="558" t="n"/>
      <c r="AV121" s="558" t="n"/>
      <c r="AW121" s="558" t="n"/>
      <c r="AX121" s="558" t="n"/>
      <c r="AY121" s="558" t="n"/>
      <c r="AZ121" s="558" t="n"/>
    </row>
    <row r="122" hidden="1" ht="15" customHeight="1" s="418">
      <c r="A122" s="543" t="n"/>
      <c r="B122" s="670" t="n"/>
      <c r="C122" s="543" t="n"/>
      <c r="D122" s="556" t="n"/>
      <c r="E122" s="556" t="n"/>
      <c r="F122" s="556" t="n"/>
      <c r="G122" s="544" t="n"/>
      <c r="H122" s="544" t="n"/>
      <c r="I122" s="662" t="n"/>
      <c r="J122" s="653" t="n"/>
      <c r="K122" s="654" t="n"/>
      <c r="L122" s="644" t="n"/>
      <c r="M122" s="295" t="n"/>
      <c r="N122" s="184">
        <f>I122-K122-M122</f>
        <v/>
      </c>
      <c r="O122" s="617" t="n"/>
      <c r="P122" s="597" t="n"/>
      <c r="Q122" s="593" t="n"/>
      <c r="R122" s="593" t="n"/>
      <c r="S122" s="593" t="n"/>
      <c r="T122" s="558" t="n"/>
      <c r="U122" s="211" t="n"/>
      <c r="V122" s="558" t="n"/>
      <c r="W122" s="558" t="n"/>
      <c r="X122" s="558" t="n"/>
      <c r="Y122" s="558" t="n"/>
      <c r="Z122" s="558" t="n"/>
      <c r="AA122" s="558" t="n"/>
      <c r="AB122" s="558" t="n"/>
      <c r="AC122" s="558" t="n"/>
      <c r="AD122" s="558" t="n"/>
      <c r="AE122" s="558" t="n"/>
      <c r="AF122" s="558" t="n"/>
      <c r="AG122" s="558" t="n"/>
      <c r="AH122" s="558" t="n"/>
      <c r="AI122" s="558" t="n"/>
      <c r="AJ122" s="558" t="n"/>
      <c r="AK122" s="558" t="n"/>
      <c r="AL122" s="558" t="n"/>
      <c r="AM122" s="558" t="n"/>
      <c r="AN122" s="558" t="n"/>
      <c r="AO122" s="558" t="n"/>
      <c r="AP122" s="558" t="n"/>
      <c r="AQ122" s="558" t="n"/>
      <c r="AR122" s="558" t="n"/>
      <c r="AS122" s="558" t="n"/>
      <c r="AT122" s="558" t="n"/>
      <c r="AU122" s="558" t="n"/>
      <c r="AV122" s="558" t="n"/>
      <c r="AW122" s="558" t="n"/>
      <c r="AX122" s="558" t="n"/>
      <c r="AY122" s="558" t="n"/>
      <c r="AZ122" s="558" t="n"/>
    </row>
    <row r="123" hidden="1" ht="15" customHeight="1" s="418">
      <c r="A123" s="543" t="n"/>
      <c r="B123" s="682" t="n"/>
      <c r="C123" s="577" t="n"/>
      <c r="D123" s="578" t="n"/>
      <c r="E123" s="578" t="n"/>
      <c r="F123" s="578" t="n"/>
      <c r="G123" s="579" t="n"/>
      <c r="H123" s="579" t="n"/>
      <c r="I123" s="683" t="n"/>
      <c r="J123" s="653" t="n"/>
      <c r="K123" s="654" t="n"/>
      <c r="L123" s="644" t="n"/>
      <c r="M123" s="295" t="n"/>
      <c r="N123" s="184">
        <f>I123-K123-M123</f>
        <v/>
      </c>
      <c r="O123" s="617" t="n"/>
      <c r="P123" s="597" t="n"/>
      <c r="Q123" s="593" t="n"/>
      <c r="R123" s="593" t="n"/>
      <c r="S123" s="593" t="n"/>
      <c r="T123" s="558" t="n"/>
      <c r="U123" s="211" t="n"/>
      <c r="V123" s="558" t="n"/>
      <c r="W123" s="558" t="n"/>
      <c r="X123" s="558" t="n"/>
      <c r="Y123" s="558" t="n"/>
      <c r="Z123" s="558" t="n"/>
      <c r="AA123" s="558" t="n"/>
      <c r="AB123" s="558" t="n"/>
      <c r="AC123" s="558" t="n"/>
      <c r="AD123" s="558" t="n"/>
      <c r="AE123" s="558" t="n"/>
      <c r="AF123" s="558" t="n"/>
      <c r="AG123" s="558" t="n"/>
      <c r="AH123" s="558" t="n"/>
      <c r="AI123" s="558" t="n"/>
      <c r="AJ123" s="558" t="n"/>
      <c r="AK123" s="558" t="n"/>
      <c r="AL123" s="558" t="n"/>
      <c r="AM123" s="558" t="n"/>
      <c r="AN123" s="558" t="n"/>
      <c r="AO123" s="558" t="n"/>
      <c r="AP123" s="558" t="n"/>
      <c r="AQ123" s="558" t="n"/>
      <c r="AR123" s="558" t="n"/>
      <c r="AS123" s="558" t="n"/>
      <c r="AT123" s="558" t="n"/>
      <c r="AU123" s="558" t="n"/>
      <c r="AV123" s="558" t="n"/>
      <c r="AW123" s="558" t="n"/>
      <c r="AX123" s="558" t="n"/>
      <c r="AY123" s="558" t="n"/>
      <c r="AZ123" s="558" t="n"/>
    </row>
    <row r="124" hidden="1" ht="13.5" customHeight="1" s="418">
      <c r="A124" s="587" t="n"/>
      <c r="B124" s="486" t="n"/>
      <c r="C124" s="486" t="n"/>
      <c r="D124" s="486" t="n"/>
      <c r="E124" s="486" t="n"/>
      <c r="F124" s="486" t="n"/>
      <c r="G124" s="486" t="n"/>
      <c r="H124" s="486" t="n"/>
      <c r="I124" s="486" t="n"/>
      <c r="J124" s="486" t="n"/>
      <c r="K124" s="486" t="n"/>
      <c r="L124" s="486" t="n"/>
      <c r="M124" s="487" t="n"/>
      <c r="N124" s="208">
        <f>SUM(N116:N123)</f>
        <v/>
      </c>
      <c r="O124" s="650" t="n"/>
      <c r="P124" s="684" t="n"/>
      <c r="Q124" s="589" t="n"/>
      <c r="R124" s="589" t="n"/>
      <c r="S124" s="589" t="n"/>
      <c r="T124" s="558" t="n"/>
      <c r="U124" s="211" t="n"/>
      <c r="V124" s="558" t="n"/>
      <c r="W124" s="558" t="n"/>
      <c r="X124" s="558" t="n"/>
      <c r="Y124" s="558" t="n"/>
      <c r="Z124" s="558" t="n"/>
      <c r="AA124" s="558" t="n"/>
      <c r="AB124" s="558" t="n"/>
      <c r="AC124" s="558" t="n"/>
      <c r="AD124" s="558" t="n"/>
      <c r="AE124" s="558" t="n"/>
      <c r="AF124" s="558" t="n"/>
      <c r="AG124" s="558" t="n"/>
      <c r="AH124" s="558" t="n"/>
      <c r="AI124" s="558" t="n"/>
      <c r="AJ124" s="558" t="n"/>
      <c r="AK124" s="558" t="n"/>
      <c r="AL124" s="558" t="n"/>
      <c r="AM124" s="558" t="n"/>
      <c r="AN124" s="558" t="n"/>
      <c r="AO124" s="558" t="n"/>
      <c r="AP124" s="558" t="n"/>
      <c r="AQ124" s="558" t="n"/>
      <c r="AR124" s="558" t="n"/>
      <c r="AS124" s="558" t="n"/>
      <c r="AT124" s="558" t="n"/>
      <c r="AU124" s="558" t="n"/>
      <c r="AV124" s="558" t="n"/>
      <c r="AW124" s="558" t="n"/>
      <c r="AX124" s="558" t="n"/>
      <c r="AY124" s="558" t="n"/>
      <c r="AZ124" s="558" t="n"/>
    </row>
    <row r="125" hidden="1" ht="13.5" customHeight="1" s="418">
      <c r="A125" s="630" t="n"/>
      <c r="B125" s="680" t="n"/>
      <c r="C125" s="630" t="n"/>
      <c r="D125" s="631" t="n"/>
      <c r="E125" s="631" t="n"/>
      <c r="F125" s="631" t="n"/>
      <c r="G125" s="632" t="n"/>
      <c r="H125" s="632" t="n"/>
      <c r="I125" s="681" t="n"/>
      <c r="J125" s="653" t="n"/>
      <c r="K125" s="654" t="n"/>
      <c r="L125" s="644" t="n"/>
      <c r="M125" s="564" t="n"/>
      <c r="N125" s="184">
        <f>I125-K125-M125</f>
        <v/>
      </c>
      <c r="O125" s="685" t="n"/>
      <c r="P125" s="686" t="n"/>
      <c r="Q125" s="568" t="n"/>
      <c r="R125" s="568" t="n"/>
      <c r="S125" s="568" t="n"/>
      <c r="T125" s="558" t="n"/>
      <c r="U125" s="211" t="n"/>
      <c r="V125" s="558" t="n"/>
      <c r="W125" s="558" t="n"/>
      <c r="X125" s="558" t="n"/>
      <c r="Y125" s="558" t="n"/>
      <c r="Z125" s="558" t="n"/>
      <c r="AA125" s="558" t="n"/>
      <c r="AB125" s="558" t="n"/>
      <c r="AC125" s="558" t="n"/>
      <c r="AD125" s="558" t="n"/>
      <c r="AE125" s="558" t="n"/>
      <c r="AF125" s="558" t="n"/>
      <c r="AG125" s="558" t="n"/>
      <c r="AH125" s="558" t="n"/>
      <c r="AI125" s="558" t="n"/>
      <c r="AJ125" s="558" t="n"/>
      <c r="AK125" s="558" t="n"/>
      <c r="AL125" s="558" t="n"/>
      <c r="AM125" s="558" t="n"/>
      <c r="AN125" s="558" t="n"/>
      <c r="AO125" s="558" t="n"/>
      <c r="AP125" s="558" t="n"/>
      <c r="AQ125" s="558" t="n"/>
      <c r="AR125" s="558" t="n"/>
      <c r="AS125" s="558" t="n"/>
      <c r="AT125" s="558" t="n"/>
      <c r="AU125" s="558" t="n"/>
      <c r="AV125" s="558" t="n"/>
      <c r="AW125" s="558" t="n"/>
      <c r="AX125" s="558" t="n"/>
      <c r="AY125" s="558" t="n"/>
      <c r="AZ125" s="558" t="n"/>
    </row>
    <row r="126" hidden="1" ht="13.5" customHeight="1" s="418">
      <c r="A126" s="630" t="n"/>
      <c r="B126" s="680" t="n"/>
      <c r="C126" s="630" t="n"/>
      <c r="D126" s="631" t="n"/>
      <c r="E126" s="631" t="n"/>
      <c r="F126" s="631" t="n"/>
      <c r="G126" s="632" t="n"/>
      <c r="H126" s="632" t="n"/>
      <c r="I126" s="681" t="n"/>
      <c r="J126" s="640" t="n"/>
      <c r="K126" s="312" t="n"/>
      <c r="L126" s="644" t="n"/>
      <c r="M126" s="564" t="n"/>
      <c r="N126" s="184">
        <f>I126-K126-M126</f>
        <v/>
      </c>
      <c r="O126" s="685" t="n"/>
      <c r="P126" s="597" t="n"/>
      <c r="Q126" s="593" t="n"/>
      <c r="R126" s="593" t="n"/>
      <c r="S126" s="593" t="n"/>
      <c r="T126" s="558" t="n"/>
      <c r="U126" s="211" t="n"/>
      <c r="V126" s="558" t="n"/>
      <c r="W126" s="558" t="n"/>
      <c r="X126" s="558" t="n"/>
      <c r="Y126" s="558" t="n"/>
      <c r="Z126" s="558" t="n"/>
      <c r="AA126" s="558" t="n"/>
      <c r="AB126" s="558" t="n"/>
      <c r="AC126" s="558" t="n"/>
      <c r="AD126" s="558" t="n"/>
      <c r="AE126" s="558" t="n"/>
      <c r="AF126" s="558" t="n"/>
      <c r="AG126" s="558" t="n"/>
      <c r="AH126" s="558" t="n"/>
      <c r="AI126" s="558" t="n"/>
      <c r="AJ126" s="558" t="n"/>
      <c r="AK126" s="558" t="n"/>
      <c r="AL126" s="558" t="n"/>
      <c r="AM126" s="558" t="n"/>
      <c r="AN126" s="558" t="n"/>
      <c r="AO126" s="558" t="n"/>
      <c r="AP126" s="558" t="n"/>
      <c r="AQ126" s="558" t="n"/>
      <c r="AR126" s="558" t="n"/>
      <c r="AS126" s="558" t="n"/>
      <c r="AT126" s="558" t="n"/>
      <c r="AU126" s="558" t="n"/>
      <c r="AV126" s="558" t="n"/>
      <c r="AW126" s="558" t="n"/>
      <c r="AX126" s="558" t="n"/>
      <c r="AY126" s="558" t="n"/>
      <c r="AZ126" s="558" t="n"/>
    </row>
    <row r="127" hidden="1" ht="13.5" customHeight="1" s="418">
      <c r="A127" s="630" t="n"/>
      <c r="B127" s="680" t="n"/>
      <c r="C127" s="630" t="n"/>
      <c r="D127" s="631" t="n"/>
      <c r="E127" s="631" t="n"/>
      <c r="F127" s="631" t="n"/>
      <c r="G127" s="632" t="n"/>
      <c r="H127" s="632" t="n"/>
      <c r="I127" s="681" t="n"/>
      <c r="J127" s="640" t="n"/>
      <c r="K127" s="564" t="n"/>
      <c r="L127" s="644" t="n"/>
      <c r="M127" s="564" t="n"/>
      <c r="N127" s="184">
        <f>I127-K127-M127</f>
        <v/>
      </c>
      <c r="O127" s="685" t="n"/>
      <c r="P127" s="597" t="n"/>
      <c r="Q127" s="593" t="n"/>
      <c r="R127" s="593" t="n"/>
      <c r="S127" s="593" t="n"/>
      <c r="T127" s="558" t="n"/>
      <c r="U127" s="211" t="n"/>
      <c r="V127" s="558" t="n"/>
      <c r="W127" s="558" t="n"/>
      <c r="X127" s="558" t="n"/>
      <c r="Y127" s="558" t="n"/>
      <c r="Z127" s="558" t="n"/>
      <c r="AA127" s="558" t="n"/>
      <c r="AB127" s="558" t="n"/>
      <c r="AC127" s="558" t="n"/>
      <c r="AD127" s="558" t="n"/>
      <c r="AE127" s="558" t="n"/>
      <c r="AF127" s="558" t="n"/>
      <c r="AG127" s="558" t="n"/>
      <c r="AH127" s="558" t="n"/>
      <c r="AI127" s="558" t="n"/>
      <c r="AJ127" s="558" t="n"/>
      <c r="AK127" s="558" t="n"/>
      <c r="AL127" s="558" t="n"/>
      <c r="AM127" s="558" t="n"/>
      <c r="AN127" s="558" t="n"/>
      <c r="AO127" s="558" t="n"/>
      <c r="AP127" s="558" t="n"/>
      <c r="AQ127" s="558" t="n"/>
      <c r="AR127" s="558" t="n"/>
      <c r="AS127" s="558" t="n"/>
      <c r="AT127" s="558" t="n"/>
      <c r="AU127" s="558" t="n"/>
      <c r="AV127" s="558" t="n"/>
      <c r="AW127" s="558" t="n"/>
      <c r="AX127" s="558" t="n"/>
      <c r="AY127" s="558" t="n"/>
      <c r="AZ127" s="558" t="n"/>
    </row>
    <row r="128" hidden="1" ht="13.5" customHeight="1" s="418">
      <c r="A128" s="630" t="n"/>
      <c r="B128" s="680" t="n"/>
      <c r="C128" s="630" t="n"/>
      <c r="D128" s="631" t="n"/>
      <c r="E128" s="631" t="n"/>
      <c r="F128" s="631" t="n"/>
      <c r="G128" s="632" t="n"/>
      <c r="H128" s="632" t="n"/>
      <c r="I128" s="681" t="n"/>
      <c r="J128" s="653" t="n"/>
      <c r="K128" s="654" t="n"/>
      <c r="L128" s="644" t="n"/>
      <c r="M128" s="564" t="n"/>
      <c r="N128" s="184">
        <f>I128-K128-M128</f>
        <v/>
      </c>
      <c r="O128" s="685" t="n"/>
      <c r="P128" s="597" t="n"/>
      <c r="Q128" s="593" t="n"/>
      <c r="R128" s="593" t="n"/>
      <c r="S128" s="593" t="n"/>
      <c r="T128" s="558" t="n"/>
      <c r="U128" s="211" t="n"/>
      <c r="V128" s="558" t="n"/>
      <c r="W128" s="558" t="n"/>
      <c r="X128" s="558" t="n"/>
      <c r="Y128" s="558" t="n"/>
      <c r="Z128" s="558" t="n"/>
      <c r="AA128" s="558" t="n"/>
      <c r="AB128" s="558" t="n"/>
      <c r="AC128" s="558" t="n"/>
      <c r="AD128" s="558" t="n"/>
      <c r="AE128" s="558" t="n"/>
      <c r="AF128" s="558" t="n"/>
      <c r="AG128" s="558" t="n"/>
      <c r="AH128" s="558" t="n"/>
      <c r="AI128" s="558" t="n"/>
      <c r="AJ128" s="558" t="n"/>
      <c r="AK128" s="558" t="n"/>
      <c r="AL128" s="558" t="n"/>
      <c r="AM128" s="558" t="n"/>
      <c r="AN128" s="558" t="n"/>
      <c r="AO128" s="558" t="n"/>
      <c r="AP128" s="558" t="n"/>
      <c r="AQ128" s="558" t="n"/>
      <c r="AR128" s="558" t="n"/>
      <c r="AS128" s="558" t="n"/>
      <c r="AT128" s="558" t="n"/>
      <c r="AU128" s="558" t="n"/>
      <c r="AV128" s="558" t="n"/>
      <c r="AW128" s="558" t="n"/>
      <c r="AX128" s="558" t="n"/>
      <c r="AY128" s="558" t="n"/>
      <c r="AZ128" s="558" t="n"/>
    </row>
    <row r="129" hidden="1" ht="13.5" customHeight="1" s="418">
      <c r="A129" s="630" t="n"/>
      <c r="B129" s="680" t="n"/>
      <c r="C129" s="630" t="n"/>
      <c r="D129" s="631" t="n"/>
      <c r="E129" s="631" t="n"/>
      <c r="F129" s="631" t="n"/>
      <c r="G129" s="632" t="n"/>
      <c r="H129" s="632" t="n"/>
      <c r="I129" s="681" t="n"/>
      <c r="J129" s="653" t="n"/>
      <c r="K129" s="654" t="n"/>
      <c r="L129" s="644" t="n"/>
      <c r="M129" s="564" t="n"/>
      <c r="N129" s="184">
        <f>I129-K129-M129</f>
        <v/>
      </c>
      <c r="O129" s="685" t="n"/>
      <c r="P129" s="597" t="n"/>
      <c r="Q129" s="593" t="n"/>
      <c r="R129" s="593" t="n"/>
      <c r="S129" s="593" t="n"/>
      <c r="T129" s="558" t="n"/>
      <c r="U129" s="211" t="n"/>
      <c r="V129" s="558" t="n"/>
      <c r="W129" s="558" t="n"/>
      <c r="X129" s="558" t="n"/>
      <c r="Y129" s="558" t="n"/>
      <c r="Z129" s="558" t="n"/>
      <c r="AA129" s="558" t="n"/>
      <c r="AB129" s="558" t="n"/>
      <c r="AC129" s="558" t="n"/>
      <c r="AD129" s="558" t="n"/>
      <c r="AE129" s="558" t="n"/>
      <c r="AF129" s="558" t="n"/>
      <c r="AG129" s="558" t="n"/>
      <c r="AH129" s="558" t="n"/>
      <c r="AI129" s="558" t="n"/>
      <c r="AJ129" s="558" t="n"/>
      <c r="AK129" s="558" t="n"/>
      <c r="AL129" s="558" t="n"/>
      <c r="AM129" s="558" t="n"/>
      <c r="AN129" s="558" t="n"/>
      <c r="AO129" s="558" t="n"/>
      <c r="AP129" s="558" t="n"/>
      <c r="AQ129" s="558" t="n"/>
      <c r="AR129" s="558" t="n"/>
      <c r="AS129" s="558" t="n"/>
      <c r="AT129" s="558" t="n"/>
      <c r="AU129" s="558" t="n"/>
      <c r="AV129" s="558" t="n"/>
      <c r="AW129" s="558" t="n"/>
      <c r="AX129" s="558" t="n"/>
      <c r="AY129" s="558" t="n"/>
      <c r="AZ129" s="558" t="n"/>
    </row>
    <row r="130" hidden="1" ht="13.5" customHeight="1" s="418">
      <c r="A130" s="630" t="n"/>
      <c r="B130" s="680" t="n"/>
      <c r="C130" s="630" t="n"/>
      <c r="D130" s="631" t="n"/>
      <c r="E130" s="631" t="n"/>
      <c r="F130" s="631" t="n"/>
      <c r="G130" s="632" t="n"/>
      <c r="H130" s="632" t="n"/>
      <c r="I130" s="681" t="n"/>
      <c r="J130" s="653" t="n"/>
      <c r="K130" s="654" t="n"/>
      <c r="L130" s="644" t="n"/>
      <c r="M130" s="564" t="n"/>
      <c r="N130" s="184">
        <f>I130-K130-M130</f>
        <v/>
      </c>
      <c r="O130" s="685" t="n"/>
      <c r="P130" s="597" t="n"/>
      <c r="Q130" s="593" t="n"/>
      <c r="R130" s="593" t="n"/>
      <c r="S130" s="593" t="n"/>
      <c r="T130" s="558" t="n"/>
      <c r="U130" s="211" t="n"/>
      <c r="V130" s="558" t="n"/>
      <c r="W130" s="558" t="n"/>
      <c r="X130" s="558" t="n"/>
      <c r="Y130" s="558" t="n"/>
      <c r="Z130" s="558" t="n"/>
      <c r="AA130" s="558" t="n"/>
      <c r="AB130" s="558" t="n"/>
      <c r="AC130" s="558" t="n"/>
      <c r="AD130" s="558" t="n"/>
      <c r="AE130" s="558" t="n"/>
      <c r="AF130" s="558" t="n"/>
      <c r="AG130" s="558" t="n"/>
      <c r="AH130" s="558" t="n"/>
      <c r="AI130" s="558" t="n"/>
      <c r="AJ130" s="558" t="n"/>
      <c r="AK130" s="558" t="n"/>
      <c r="AL130" s="558" t="n"/>
      <c r="AM130" s="558" t="n"/>
      <c r="AN130" s="558" t="n"/>
      <c r="AO130" s="558" t="n"/>
      <c r="AP130" s="558" t="n"/>
      <c r="AQ130" s="558" t="n"/>
      <c r="AR130" s="558" t="n"/>
      <c r="AS130" s="558" t="n"/>
      <c r="AT130" s="558" t="n"/>
      <c r="AU130" s="558" t="n"/>
      <c r="AV130" s="558" t="n"/>
      <c r="AW130" s="558" t="n"/>
      <c r="AX130" s="558" t="n"/>
      <c r="AY130" s="558" t="n"/>
      <c r="AZ130" s="558" t="n"/>
    </row>
    <row r="131" hidden="1" ht="13.5" customHeight="1" s="418">
      <c r="A131" s="630" t="n"/>
      <c r="B131" s="680" t="n"/>
      <c r="C131" s="630" t="n"/>
      <c r="D131" s="631" t="n"/>
      <c r="E131" s="631" t="n"/>
      <c r="F131" s="631" t="n"/>
      <c r="G131" s="632" t="n"/>
      <c r="H131" s="632" t="n"/>
      <c r="I131" s="681" t="n"/>
      <c r="J131" s="653" t="n"/>
      <c r="K131" s="654" t="n"/>
      <c r="L131" s="644" t="n"/>
      <c r="M131" s="564" t="n"/>
      <c r="N131" s="184">
        <f>I131-K131-M131</f>
        <v/>
      </c>
      <c r="O131" s="685" t="n"/>
      <c r="P131" s="687" t="n"/>
      <c r="Q131" s="635" t="n"/>
      <c r="R131" s="688" t="n"/>
      <c r="S131" s="584" t="n"/>
      <c r="T131" s="558" t="n"/>
      <c r="U131" s="211" t="n"/>
      <c r="V131" s="558" t="n"/>
      <c r="W131" s="558" t="n"/>
      <c r="X131" s="558" t="n"/>
      <c r="Y131" s="558" t="n"/>
      <c r="Z131" s="558" t="n"/>
      <c r="AA131" s="558" t="n"/>
      <c r="AB131" s="558" t="n"/>
      <c r="AC131" s="558" t="n"/>
      <c r="AD131" s="558" t="n"/>
      <c r="AE131" s="558" t="n"/>
      <c r="AF131" s="558" t="n"/>
      <c r="AG131" s="558" t="n"/>
      <c r="AH131" s="558" t="n"/>
      <c r="AI131" s="558" t="n"/>
      <c r="AJ131" s="558" t="n"/>
      <c r="AK131" s="558" t="n"/>
      <c r="AL131" s="558" t="n"/>
      <c r="AM131" s="558" t="n"/>
      <c r="AN131" s="558" t="n"/>
      <c r="AO131" s="558" t="n"/>
      <c r="AP131" s="558" t="n"/>
      <c r="AQ131" s="558" t="n"/>
      <c r="AR131" s="558" t="n"/>
      <c r="AS131" s="558" t="n"/>
      <c r="AT131" s="558" t="n"/>
      <c r="AU131" s="558" t="n"/>
      <c r="AV131" s="558" t="n"/>
      <c r="AW131" s="558" t="n"/>
      <c r="AX131" s="558" t="n"/>
      <c r="AY131" s="558" t="n"/>
      <c r="AZ131" s="558" t="n"/>
    </row>
    <row r="132" hidden="1" ht="15" customHeight="1" s="418">
      <c r="A132" s="587" t="n"/>
      <c r="B132" s="486" t="n"/>
      <c r="C132" s="486" t="n"/>
      <c r="D132" s="486" t="n"/>
      <c r="E132" s="486" t="n"/>
      <c r="F132" s="486" t="n"/>
      <c r="G132" s="486" t="n"/>
      <c r="H132" s="486" t="n"/>
      <c r="I132" s="486" t="n"/>
      <c r="J132" s="486" t="n"/>
      <c r="K132" s="486" t="n"/>
      <c r="L132" s="486" t="n"/>
      <c r="M132" s="487" t="n"/>
      <c r="N132" s="208">
        <f>SUM(N125:N131)</f>
        <v/>
      </c>
      <c r="O132" s="689" t="n"/>
      <c r="P132" s="588" t="n"/>
      <c r="Q132" s="589" t="n"/>
      <c r="R132" s="589" t="n"/>
      <c r="S132" s="589" t="n"/>
      <c r="T132" s="558" t="n"/>
      <c r="U132" s="211" t="n"/>
      <c r="V132" s="558" t="n"/>
      <c r="W132" s="558" t="n"/>
      <c r="X132" s="558" t="n"/>
      <c r="Y132" s="558" t="n"/>
      <c r="Z132" s="558" t="n"/>
      <c r="AA132" s="558" t="n"/>
      <c r="AB132" s="558" t="n"/>
      <c r="AC132" s="558" t="n"/>
      <c r="AD132" s="558" t="n"/>
      <c r="AE132" s="558" t="n"/>
      <c r="AF132" s="558" t="n"/>
      <c r="AG132" s="558" t="n"/>
      <c r="AH132" s="558" t="n"/>
      <c r="AI132" s="558" t="n"/>
      <c r="AJ132" s="558" t="n"/>
      <c r="AK132" s="558" t="n"/>
      <c r="AL132" s="558" t="n"/>
      <c r="AM132" s="558" t="n"/>
      <c r="AN132" s="558" t="n"/>
      <c r="AO132" s="558" t="n"/>
      <c r="AP132" s="558" t="n"/>
      <c r="AQ132" s="558" t="n"/>
      <c r="AR132" s="558" t="n"/>
      <c r="AS132" s="558" t="n"/>
      <c r="AT132" s="558" t="n"/>
      <c r="AU132" s="558" t="n"/>
      <c r="AV132" s="558" t="n"/>
      <c r="AW132" s="558" t="n"/>
      <c r="AX132" s="558" t="n"/>
      <c r="AY132" s="558" t="n"/>
      <c r="AZ132" s="558" t="n"/>
    </row>
    <row r="133" hidden="1" ht="13.5" customHeight="1" s="418">
      <c r="A133" s="543" t="n"/>
      <c r="B133" s="690" t="n"/>
      <c r="C133" s="691" t="n"/>
      <c r="D133" s="692" t="n"/>
      <c r="E133" s="692" t="n"/>
      <c r="F133" s="692" t="n"/>
      <c r="G133" s="693" t="n"/>
      <c r="H133" s="693" t="n"/>
      <c r="I133" s="694" t="n"/>
      <c r="J133" s="653" t="n"/>
      <c r="K133" s="654" t="n"/>
      <c r="L133" s="644" t="n"/>
      <c r="M133" s="564" t="n"/>
      <c r="N133" s="184">
        <f>I133-K133-M133</f>
        <v/>
      </c>
      <c r="O133" s="617" t="n"/>
      <c r="P133" s="593" t="n"/>
      <c r="S133" s="593" t="n"/>
      <c r="T133" s="558" t="n"/>
      <c r="U133" s="211" t="n"/>
      <c r="V133" s="558" t="n"/>
      <c r="W133" s="558" t="n"/>
      <c r="X133" s="558" t="n"/>
      <c r="Y133" s="558" t="n"/>
      <c r="Z133" s="558" t="n"/>
      <c r="AA133" s="558" t="n"/>
      <c r="AB133" s="558" t="n"/>
      <c r="AC133" s="558" t="n"/>
      <c r="AD133" s="558" t="n"/>
      <c r="AE133" s="558" t="n"/>
      <c r="AF133" s="558" t="n"/>
      <c r="AG133" s="558" t="n"/>
      <c r="AH133" s="558" t="n"/>
      <c r="AI133" s="558" t="n"/>
      <c r="AJ133" s="558" t="n"/>
      <c r="AK133" s="558" t="n"/>
      <c r="AL133" s="558" t="n"/>
      <c r="AM133" s="558" t="n"/>
      <c r="AN133" s="558" t="n"/>
      <c r="AO133" s="558" t="n"/>
      <c r="AP133" s="558" t="n"/>
      <c r="AQ133" s="558" t="n"/>
      <c r="AR133" s="558" t="n"/>
      <c r="AS133" s="558" t="n"/>
      <c r="AT133" s="558" t="n"/>
      <c r="AU133" s="558" t="n"/>
      <c r="AV133" s="558" t="n"/>
      <c r="AW133" s="558" t="n"/>
      <c r="AX133" s="558" t="n"/>
      <c r="AY133" s="558" t="n"/>
      <c r="AZ133" s="558" t="n"/>
    </row>
    <row r="134" hidden="1" ht="13.5" customHeight="1" s="418">
      <c r="A134" s="543" t="n"/>
      <c r="B134" s="670" t="n"/>
      <c r="C134" s="543" t="n"/>
      <c r="D134" s="556" t="n"/>
      <c r="E134" s="556" t="n"/>
      <c r="F134" s="556" t="n"/>
      <c r="G134" s="544" t="n"/>
      <c r="H134" s="544" t="n"/>
      <c r="I134" s="662" t="n"/>
      <c r="J134" s="653" t="n"/>
      <c r="K134" s="654" t="n"/>
      <c r="L134" s="644" t="n"/>
      <c r="M134" s="564" t="n"/>
      <c r="N134" s="184">
        <f>I134-K134-M134</f>
        <v/>
      </c>
      <c r="O134" s="617" t="n"/>
      <c r="P134" s="597" t="n"/>
      <c r="Q134" s="593" t="n"/>
      <c r="R134" s="593" t="n"/>
      <c r="S134" s="593" t="n"/>
      <c r="T134" s="558" t="n"/>
      <c r="U134" s="211" t="n"/>
      <c r="V134" s="558" t="n"/>
      <c r="W134" s="558" t="n"/>
      <c r="X134" s="558" t="n"/>
      <c r="Y134" s="558" t="n"/>
      <c r="Z134" s="558" t="n"/>
      <c r="AA134" s="558" t="n"/>
      <c r="AB134" s="558" t="n"/>
      <c r="AC134" s="558" t="n"/>
      <c r="AD134" s="558" t="n"/>
      <c r="AE134" s="558" t="n"/>
      <c r="AF134" s="558" t="n"/>
      <c r="AG134" s="558" t="n"/>
      <c r="AH134" s="558" t="n"/>
      <c r="AI134" s="558" t="n"/>
      <c r="AJ134" s="558" t="n"/>
      <c r="AK134" s="558" t="n"/>
      <c r="AL134" s="558" t="n"/>
      <c r="AM134" s="558" t="n"/>
      <c r="AN134" s="558" t="n"/>
      <c r="AO134" s="558" t="n"/>
      <c r="AP134" s="558" t="n"/>
      <c r="AQ134" s="558" t="n"/>
      <c r="AR134" s="558" t="n"/>
      <c r="AS134" s="558" t="n"/>
      <c r="AT134" s="558" t="n"/>
      <c r="AU134" s="558" t="n"/>
      <c r="AV134" s="558" t="n"/>
      <c r="AW134" s="558" t="n"/>
      <c r="AX134" s="558" t="n"/>
      <c r="AY134" s="558" t="n"/>
      <c r="AZ134" s="558" t="n"/>
    </row>
    <row r="135" hidden="1" ht="13.5" customHeight="1" s="418">
      <c r="A135" s="543" t="n"/>
      <c r="B135" s="670" t="n"/>
      <c r="C135" s="543" t="n"/>
      <c r="D135" s="556" t="n"/>
      <c r="E135" s="556" t="n"/>
      <c r="F135" s="556" t="n"/>
      <c r="G135" s="544" t="n"/>
      <c r="H135" s="544" t="n"/>
      <c r="I135" s="662" t="n"/>
      <c r="J135" s="653" t="n"/>
      <c r="K135" s="654" t="n"/>
      <c r="L135" s="644" t="n"/>
      <c r="M135" s="564" t="n"/>
      <c r="N135" s="184">
        <f>I135-K135-M135</f>
        <v/>
      </c>
      <c r="O135" s="617" t="n"/>
      <c r="P135" s="597" t="n"/>
      <c r="Q135" s="593" t="n"/>
      <c r="R135" s="593" t="n"/>
      <c r="S135" s="593" t="n"/>
      <c r="T135" s="558" t="n"/>
      <c r="U135" s="211" t="n"/>
      <c r="V135" s="558" t="n"/>
      <c r="W135" s="558" t="n"/>
      <c r="X135" s="558" t="n"/>
      <c r="Y135" s="558" t="n"/>
      <c r="Z135" s="558" t="n"/>
      <c r="AA135" s="558" t="n"/>
      <c r="AB135" s="558" t="n"/>
      <c r="AC135" s="558" t="n"/>
      <c r="AD135" s="558" t="n"/>
      <c r="AE135" s="558" t="n"/>
      <c r="AF135" s="558" t="n"/>
      <c r="AG135" s="558" t="n"/>
      <c r="AH135" s="558" t="n"/>
      <c r="AI135" s="558" t="n"/>
      <c r="AJ135" s="558" t="n"/>
      <c r="AK135" s="558" t="n"/>
      <c r="AL135" s="558" t="n"/>
      <c r="AM135" s="558" t="n"/>
      <c r="AN135" s="558" t="n"/>
      <c r="AO135" s="558" t="n"/>
      <c r="AP135" s="558" t="n"/>
      <c r="AQ135" s="558" t="n"/>
      <c r="AR135" s="558" t="n"/>
      <c r="AS135" s="558" t="n"/>
      <c r="AT135" s="558" t="n"/>
      <c r="AU135" s="558" t="n"/>
      <c r="AV135" s="558" t="n"/>
      <c r="AW135" s="558" t="n"/>
      <c r="AX135" s="558" t="n"/>
      <c r="AY135" s="558" t="n"/>
      <c r="AZ135" s="558" t="n"/>
    </row>
    <row r="136" hidden="1" ht="13.5" customHeight="1" s="418">
      <c r="A136" s="630" t="n"/>
      <c r="B136" s="680" t="n"/>
      <c r="C136" s="630" t="n"/>
      <c r="D136" s="631" t="n"/>
      <c r="E136" s="631" t="n"/>
      <c r="F136" s="631" t="n"/>
      <c r="G136" s="632" t="n"/>
      <c r="H136" s="632" t="n"/>
      <c r="I136" s="681" t="n"/>
      <c r="J136" s="653" t="n"/>
      <c r="K136" s="654" t="n"/>
      <c r="L136" s="644" t="n"/>
      <c r="M136" s="564" t="n"/>
      <c r="N136" s="184">
        <f>I136-K136-M136</f>
        <v/>
      </c>
      <c r="O136" s="617" t="n"/>
      <c r="P136" s="597" t="n"/>
      <c r="Q136" s="593" t="n"/>
      <c r="R136" s="593" t="n"/>
      <c r="S136" s="593" t="n"/>
      <c r="T136" s="558" t="n"/>
      <c r="U136" s="211" t="n"/>
      <c r="V136" s="558" t="n"/>
      <c r="W136" s="558" t="n"/>
      <c r="X136" s="558" t="n"/>
      <c r="Y136" s="558" t="n"/>
      <c r="Z136" s="558" t="n"/>
      <c r="AA136" s="558" t="n"/>
      <c r="AB136" s="558" t="n"/>
      <c r="AC136" s="558" t="n"/>
      <c r="AD136" s="558" t="n"/>
      <c r="AE136" s="558" t="n"/>
      <c r="AF136" s="558" t="n"/>
      <c r="AG136" s="558" t="n"/>
      <c r="AH136" s="558" t="n"/>
      <c r="AI136" s="558" t="n"/>
      <c r="AJ136" s="558" t="n"/>
      <c r="AK136" s="558" t="n"/>
      <c r="AL136" s="558" t="n"/>
      <c r="AM136" s="558" t="n"/>
      <c r="AN136" s="558" t="n"/>
      <c r="AO136" s="558" t="n"/>
      <c r="AP136" s="558" t="n"/>
      <c r="AQ136" s="558" t="n"/>
      <c r="AR136" s="558" t="n"/>
      <c r="AS136" s="558" t="n"/>
      <c r="AT136" s="558" t="n"/>
      <c r="AU136" s="558" t="n"/>
      <c r="AV136" s="558" t="n"/>
      <c r="AW136" s="558" t="n"/>
      <c r="AX136" s="558" t="n"/>
      <c r="AY136" s="558" t="n"/>
      <c r="AZ136" s="558" t="n"/>
    </row>
    <row r="137" hidden="1" ht="13.5" customHeight="1" s="418">
      <c r="A137" s="630" t="n"/>
      <c r="B137" s="680" t="n"/>
      <c r="C137" s="630" t="n"/>
      <c r="D137" s="631" t="n"/>
      <c r="E137" s="631" t="n"/>
      <c r="F137" s="631" t="n"/>
      <c r="G137" s="632" t="n"/>
      <c r="H137" s="632" t="n"/>
      <c r="I137" s="681" t="n"/>
      <c r="J137" s="653" t="n"/>
      <c r="K137" s="654" t="n"/>
      <c r="L137" s="644" t="n"/>
      <c r="M137" s="564" t="n"/>
      <c r="N137" s="184">
        <f>I137-K137-M137</f>
        <v/>
      </c>
      <c r="O137" s="617" t="n"/>
      <c r="P137" s="597" t="n"/>
      <c r="Q137" s="593" t="n"/>
      <c r="R137" s="593" t="n"/>
      <c r="S137" s="593" t="n"/>
      <c r="T137" s="558" t="n"/>
      <c r="U137" s="211" t="n"/>
      <c r="V137" s="558" t="n"/>
      <c r="W137" s="558" t="n"/>
      <c r="X137" s="558" t="n"/>
      <c r="Y137" s="558" t="n"/>
      <c r="Z137" s="558" t="n"/>
      <c r="AA137" s="558" t="n"/>
      <c r="AB137" s="558" t="n"/>
      <c r="AC137" s="558" t="n"/>
      <c r="AD137" s="558" t="n"/>
      <c r="AE137" s="558" t="n"/>
      <c r="AF137" s="558" t="n"/>
      <c r="AG137" s="558" t="n"/>
      <c r="AH137" s="558" t="n"/>
      <c r="AI137" s="558" t="n"/>
      <c r="AJ137" s="558" t="n"/>
      <c r="AK137" s="558" t="n"/>
      <c r="AL137" s="558" t="n"/>
      <c r="AM137" s="558" t="n"/>
      <c r="AN137" s="558" t="n"/>
      <c r="AO137" s="558" t="n"/>
      <c r="AP137" s="558" t="n"/>
      <c r="AQ137" s="558" t="n"/>
      <c r="AR137" s="558" t="n"/>
      <c r="AS137" s="558" t="n"/>
      <c r="AT137" s="558" t="n"/>
      <c r="AU137" s="558" t="n"/>
      <c r="AV137" s="558" t="n"/>
      <c r="AW137" s="558" t="n"/>
      <c r="AX137" s="558" t="n"/>
      <c r="AY137" s="558" t="n"/>
      <c r="AZ137" s="558" t="n"/>
    </row>
    <row r="138" hidden="1" ht="13.5" customHeight="1" s="418">
      <c r="A138" s="630" t="n"/>
      <c r="B138" s="680" t="n"/>
      <c r="C138" s="630" t="n"/>
      <c r="D138" s="631" t="n"/>
      <c r="E138" s="631" t="n"/>
      <c r="F138" s="631" t="n"/>
      <c r="G138" s="632" t="n"/>
      <c r="H138" s="632" t="n"/>
      <c r="I138" s="681" t="n"/>
      <c r="J138" s="653" t="n"/>
      <c r="K138" s="654" t="n"/>
      <c r="L138" s="644" t="n"/>
      <c r="M138" s="564" t="n"/>
      <c r="N138" s="184">
        <f>I138-K138-M138</f>
        <v/>
      </c>
      <c r="O138" s="617" t="n"/>
      <c r="P138" s="597" t="n"/>
      <c r="Q138" s="593" t="n"/>
      <c r="R138" s="593" t="n"/>
      <c r="S138" s="593" t="n"/>
      <c r="T138" s="558" t="n"/>
      <c r="U138" s="211" t="n"/>
      <c r="V138" s="558" t="n"/>
      <c r="W138" s="558" t="n"/>
      <c r="X138" s="558" t="n"/>
      <c r="Y138" s="558" t="n"/>
      <c r="Z138" s="558" t="n"/>
      <c r="AA138" s="558" t="n"/>
      <c r="AB138" s="558" t="n"/>
      <c r="AC138" s="558" t="n"/>
      <c r="AD138" s="558" t="n"/>
      <c r="AE138" s="558" t="n"/>
      <c r="AF138" s="558" t="n"/>
      <c r="AG138" s="558" t="n"/>
      <c r="AH138" s="558" t="n"/>
      <c r="AI138" s="558" t="n"/>
      <c r="AJ138" s="558" t="n"/>
      <c r="AK138" s="558" t="n"/>
      <c r="AL138" s="558" t="n"/>
      <c r="AM138" s="558" t="n"/>
      <c r="AN138" s="558" t="n"/>
      <c r="AO138" s="558" t="n"/>
      <c r="AP138" s="558" t="n"/>
      <c r="AQ138" s="558" t="n"/>
      <c r="AR138" s="558" t="n"/>
      <c r="AS138" s="558" t="n"/>
      <c r="AT138" s="558" t="n"/>
      <c r="AU138" s="558" t="n"/>
      <c r="AV138" s="558" t="n"/>
      <c r="AW138" s="558" t="n"/>
      <c r="AX138" s="558" t="n"/>
      <c r="AY138" s="558" t="n"/>
      <c r="AZ138" s="558" t="n"/>
    </row>
    <row r="139" hidden="1" ht="13.5" customHeight="1" s="418">
      <c r="A139" s="630" t="n"/>
      <c r="B139" s="664" t="n"/>
      <c r="C139" s="665" t="n"/>
      <c r="D139" s="666" t="n"/>
      <c r="E139" s="666" t="n"/>
      <c r="F139" s="666" t="n"/>
      <c r="G139" s="667" t="n"/>
      <c r="H139" s="667" t="n"/>
      <c r="I139" s="668" t="n"/>
      <c r="J139" s="653" t="n"/>
      <c r="K139" s="654" t="n"/>
      <c r="L139" s="644" t="n"/>
      <c r="M139" s="564" t="n"/>
      <c r="N139" s="184">
        <f>I139-K139-M139</f>
        <v/>
      </c>
      <c r="O139" s="617" t="n"/>
      <c r="P139" s="597" t="n"/>
      <c r="Q139" s="593" t="n"/>
      <c r="R139" s="593" t="n"/>
      <c r="S139" s="593" t="n"/>
      <c r="T139" s="558" t="n"/>
      <c r="U139" s="211" t="n"/>
      <c r="V139" s="558" t="n"/>
      <c r="W139" s="558" t="n"/>
      <c r="X139" s="558" t="n"/>
      <c r="Y139" s="558" t="n"/>
      <c r="Z139" s="558" t="n"/>
      <c r="AA139" s="558" t="n"/>
      <c r="AB139" s="558" t="n"/>
      <c r="AC139" s="558" t="n"/>
      <c r="AD139" s="558" t="n"/>
      <c r="AE139" s="558" t="n"/>
      <c r="AF139" s="558" t="n"/>
      <c r="AG139" s="558" t="n"/>
      <c r="AH139" s="558" t="n"/>
      <c r="AI139" s="558" t="n"/>
      <c r="AJ139" s="558" t="n"/>
      <c r="AK139" s="558" t="n"/>
      <c r="AL139" s="558" t="n"/>
      <c r="AM139" s="558" t="n"/>
      <c r="AN139" s="558" t="n"/>
      <c r="AO139" s="558" t="n"/>
      <c r="AP139" s="558" t="n"/>
      <c r="AQ139" s="558" t="n"/>
      <c r="AR139" s="558" t="n"/>
      <c r="AS139" s="558" t="n"/>
      <c r="AT139" s="558" t="n"/>
      <c r="AU139" s="558" t="n"/>
      <c r="AV139" s="558" t="n"/>
      <c r="AW139" s="558" t="n"/>
      <c r="AX139" s="558" t="n"/>
      <c r="AY139" s="558" t="n"/>
      <c r="AZ139" s="558" t="n"/>
    </row>
    <row r="140" hidden="1" ht="13.5" customHeight="1" s="418">
      <c r="A140" s="587" t="n"/>
      <c r="B140" s="486" t="n"/>
      <c r="C140" s="486" t="n"/>
      <c r="D140" s="486" t="n"/>
      <c r="E140" s="486" t="n"/>
      <c r="F140" s="486" t="n"/>
      <c r="G140" s="486" t="n"/>
      <c r="H140" s="486" t="n"/>
      <c r="I140" s="486" t="n"/>
      <c r="J140" s="486" t="n"/>
      <c r="K140" s="486" t="n"/>
      <c r="L140" s="486" t="n"/>
      <c r="M140" s="487" t="n"/>
      <c r="N140" s="208">
        <f>SUM(N133:N139)</f>
        <v/>
      </c>
      <c r="O140" s="650" t="n"/>
      <c r="P140" s="651" t="n"/>
      <c r="Q140" s="589" t="n"/>
      <c r="R140" s="589" t="n"/>
      <c r="S140" s="589" t="n"/>
      <c r="T140" s="558" t="n"/>
      <c r="U140" s="211" t="n"/>
      <c r="V140" s="558" t="n"/>
      <c r="W140" s="558" t="n"/>
      <c r="X140" s="558" t="n"/>
      <c r="Y140" s="558" t="n"/>
      <c r="Z140" s="558" t="n"/>
      <c r="AA140" s="558" t="n"/>
      <c r="AB140" s="558" t="n"/>
      <c r="AC140" s="558" t="n"/>
      <c r="AD140" s="558" t="n"/>
      <c r="AE140" s="558" t="n"/>
      <c r="AF140" s="558" t="n"/>
      <c r="AG140" s="558" t="n"/>
      <c r="AH140" s="558" t="n"/>
      <c r="AI140" s="558" t="n"/>
      <c r="AJ140" s="558" t="n"/>
      <c r="AK140" s="558" t="n"/>
      <c r="AL140" s="558" t="n"/>
      <c r="AM140" s="558" t="n"/>
      <c r="AN140" s="558" t="n"/>
      <c r="AO140" s="558" t="n"/>
      <c r="AP140" s="558" t="n"/>
      <c r="AQ140" s="558" t="n"/>
      <c r="AR140" s="558" t="n"/>
      <c r="AS140" s="558" t="n"/>
      <c r="AT140" s="558" t="n"/>
      <c r="AU140" s="558" t="n"/>
      <c r="AV140" s="558" t="n"/>
      <c r="AW140" s="558" t="n"/>
      <c r="AX140" s="558" t="n"/>
      <c r="AY140" s="558" t="n"/>
      <c r="AZ140" s="558" t="n"/>
    </row>
    <row r="141" hidden="1" ht="13.5" customHeight="1" s="418">
      <c r="A141" s="543" t="n"/>
      <c r="B141" s="690" t="n"/>
      <c r="C141" s="691" t="n"/>
      <c r="D141" s="692" t="n"/>
      <c r="E141" s="692" t="n"/>
      <c r="F141" s="692" t="n"/>
      <c r="G141" s="693" t="n"/>
      <c r="H141" s="693" t="n"/>
      <c r="I141" s="694" t="n"/>
      <c r="J141" s="653" t="n"/>
      <c r="K141" s="654" t="n"/>
      <c r="L141" s="644" t="n"/>
      <c r="M141" s="564" t="n"/>
      <c r="N141" s="184">
        <f>I141-K141-M141</f>
        <v/>
      </c>
      <c r="O141" s="685" t="n"/>
      <c r="P141" s="695" t="n"/>
      <c r="Q141" s="568" t="n"/>
      <c r="R141" s="568" t="n"/>
      <c r="S141" s="568" t="n"/>
      <c r="T141" s="558" t="n"/>
      <c r="U141" s="211" t="n"/>
      <c r="V141" s="558" t="n"/>
      <c r="W141" s="558" t="n"/>
      <c r="X141" s="558" t="n"/>
      <c r="Y141" s="558" t="n"/>
      <c r="Z141" s="558" t="n"/>
      <c r="AA141" s="558" t="n"/>
      <c r="AB141" s="558" t="n"/>
      <c r="AC141" s="558" t="n"/>
      <c r="AD141" s="558" t="n"/>
      <c r="AE141" s="558" t="n"/>
      <c r="AF141" s="558" t="n"/>
      <c r="AG141" s="558" t="n"/>
      <c r="AH141" s="558" t="n"/>
      <c r="AI141" s="558" t="n"/>
      <c r="AJ141" s="558" t="n"/>
      <c r="AK141" s="558" t="n"/>
      <c r="AL141" s="558" t="n"/>
      <c r="AM141" s="558" t="n"/>
      <c r="AN141" s="558" t="n"/>
      <c r="AO141" s="558" t="n"/>
      <c r="AP141" s="558" t="n"/>
      <c r="AQ141" s="558" t="n"/>
      <c r="AR141" s="558" t="n"/>
      <c r="AS141" s="558" t="n"/>
      <c r="AT141" s="558" t="n"/>
      <c r="AU141" s="558" t="n"/>
      <c r="AV141" s="558" t="n"/>
      <c r="AW141" s="558" t="n"/>
      <c r="AX141" s="558" t="n"/>
      <c r="AY141" s="558" t="n"/>
      <c r="AZ141" s="558" t="n"/>
    </row>
    <row r="142" hidden="1" ht="13.5" customHeight="1" s="418">
      <c r="A142" s="543" t="n"/>
      <c r="B142" s="670" t="n"/>
      <c r="C142" s="543" t="n"/>
      <c r="D142" s="556" t="n"/>
      <c r="E142" s="556" t="n"/>
      <c r="F142" s="556" t="n"/>
      <c r="G142" s="544" t="n"/>
      <c r="H142" s="544" t="n"/>
      <c r="I142" s="662" t="n"/>
      <c r="J142" s="640" t="n"/>
      <c r="K142" s="564" t="n"/>
      <c r="L142" s="644" t="n"/>
      <c r="M142" s="564" t="n"/>
      <c r="N142" s="184">
        <f>I142-K142-M142</f>
        <v/>
      </c>
      <c r="O142" s="685" t="n"/>
      <c r="P142" s="597" t="n"/>
      <c r="Q142" s="593" t="n"/>
      <c r="R142" s="593" t="n"/>
      <c r="S142" s="593" t="n"/>
      <c r="T142" s="558" t="n"/>
      <c r="U142" s="211" t="n"/>
      <c r="V142" s="558" t="n"/>
      <c r="W142" s="558" t="n"/>
      <c r="X142" s="558" t="n"/>
      <c r="Y142" s="558" t="n"/>
      <c r="Z142" s="558" t="n"/>
      <c r="AA142" s="558" t="n"/>
      <c r="AB142" s="558" t="n"/>
      <c r="AC142" s="558" t="n"/>
      <c r="AD142" s="558" t="n"/>
      <c r="AE142" s="558" t="n"/>
      <c r="AF142" s="558" t="n"/>
      <c r="AG142" s="558" t="n"/>
      <c r="AH142" s="558" t="n"/>
      <c r="AI142" s="558" t="n"/>
      <c r="AJ142" s="558" t="n"/>
      <c r="AK142" s="558" t="n"/>
      <c r="AL142" s="558" t="n"/>
      <c r="AM142" s="558" t="n"/>
      <c r="AN142" s="558" t="n"/>
      <c r="AO142" s="558" t="n"/>
      <c r="AP142" s="558" t="n"/>
      <c r="AQ142" s="558" t="n"/>
      <c r="AR142" s="558" t="n"/>
      <c r="AS142" s="558" t="n"/>
      <c r="AT142" s="558" t="n"/>
      <c r="AU142" s="558" t="n"/>
      <c r="AV142" s="558" t="n"/>
      <c r="AW142" s="558" t="n"/>
      <c r="AX142" s="558" t="n"/>
      <c r="AY142" s="558" t="n"/>
      <c r="AZ142" s="558" t="n"/>
    </row>
    <row r="143" hidden="1" ht="13.5" customHeight="1" s="418">
      <c r="A143" s="543" t="n"/>
      <c r="B143" s="670" t="n"/>
      <c r="C143" s="543" t="n"/>
      <c r="D143" s="556" t="n"/>
      <c r="E143" s="556" t="n"/>
      <c r="F143" s="556" t="n"/>
      <c r="G143" s="544" t="n"/>
      <c r="H143" s="544" t="n"/>
      <c r="I143" s="662" t="n"/>
      <c r="J143" s="640" t="n"/>
      <c r="K143" s="564" t="n"/>
      <c r="L143" s="644" t="n"/>
      <c r="M143" s="564" t="n"/>
      <c r="N143" s="184">
        <f>I143-K143-M143</f>
        <v/>
      </c>
      <c r="O143" s="685" t="n"/>
      <c r="P143" s="619" t="n"/>
      <c r="Q143" s="593" t="n"/>
      <c r="R143" s="593" t="n"/>
      <c r="S143" s="593" t="n"/>
      <c r="T143" s="558" t="n"/>
      <c r="U143" s="211" t="n"/>
      <c r="V143" s="558" t="n"/>
      <c r="W143" s="558" t="n"/>
      <c r="X143" s="558" t="n"/>
      <c r="Y143" s="558" t="n"/>
      <c r="Z143" s="558" t="n"/>
      <c r="AA143" s="558" t="n"/>
      <c r="AB143" s="558" t="n"/>
      <c r="AC143" s="558" t="n"/>
      <c r="AD143" s="558" t="n"/>
      <c r="AE143" s="558" t="n"/>
      <c r="AF143" s="558" t="n"/>
      <c r="AG143" s="558" t="n"/>
      <c r="AH143" s="558" t="n"/>
      <c r="AI143" s="558" t="n"/>
      <c r="AJ143" s="558" t="n"/>
      <c r="AK143" s="558" t="n"/>
      <c r="AL143" s="558" t="n"/>
      <c r="AM143" s="558" t="n"/>
      <c r="AN143" s="558" t="n"/>
      <c r="AO143" s="558" t="n"/>
      <c r="AP143" s="558" t="n"/>
      <c r="AQ143" s="558" t="n"/>
      <c r="AR143" s="558" t="n"/>
      <c r="AS143" s="558" t="n"/>
      <c r="AT143" s="558" t="n"/>
      <c r="AU143" s="558" t="n"/>
      <c r="AV143" s="558" t="n"/>
      <c r="AW143" s="558" t="n"/>
      <c r="AX143" s="558" t="n"/>
      <c r="AY143" s="558" t="n"/>
      <c r="AZ143" s="558" t="n"/>
    </row>
    <row r="144" hidden="1" ht="13.5" customHeight="1" s="418">
      <c r="A144" s="543" t="n"/>
      <c r="B144" s="670" t="n"/>
      <c r="C144" s="543" t="n"/>
      <c r="D144" s="556" t="n"/>
      <c r="E144" s="556" t="n"/>
      <c r="F144" s="556" t="n"/>
      <c r="G144" s="544" t="n"/>
      <c r="H144" s="544" t="n"/>
      <c r="I144" s="662" t="n"/>
      <c r="J144" s="640" t="n"/>
      <c r="K144" s="564" t="n"/>
      <c r="L144" s="644" t="n"/>
      <c r="M144" s="564" t="n"/>
      <c r="N144" s="184">
        <f>I144-K144-M144</f>
        <v/>
      </c>
      <c r="O144" s="685" t="n"/>
      <c r="P144" s="619" t="n"/>
      <c r="Q144" s="593" t="n"/>
      <c r="R144" s="593" t="n"/>
      <c r="S144" s="593" t="n"/>
      <c r="T144" s="558" t="n"/>
      <c r="U144" s="211" t="n"/>
      <c r="V144" s="558" t="n"/>
      <c r="W144" s="558" t="n"/>
      <c r="X144" s="558" t="n"/>
      <c r="Y144" s="558" t="n"/>
      <c r="Z144" s="558" t="n"/>
      <c r="AA144" s="558" t="n"/>
      <c r="AB144" s="558" t="n"/>
      <c r="AC144" s="558" t="n"/>
      <c r="AD144" s="558" t="n"/>
      <c r="AE144" s="558" t="n"/>
      <c r="AF144" s="558" t="n"/>
      <c r="AG144" s="558" t="n"/>
      <c r="AH144" s="558" t="n"/>
      <c r="AI144" s="558" t="n"/>
      <c r="AJ144" s="558" t="n"/>
      <c r="AK144" s="558" t="n"/>
      <c r="AL144" s="558" t="n"/>
      <c r="AM144" s="558" t="n"/>
      <c r="AN144" s="558" t="n"/>
      <c r="AO144" s="558" t="n"/>
      <c r="AP144" s="558" t="n"/>
      <c r="AQ144" s="558" t="n"/>
      <c r="AR144" s="558" t="n"/>
      <c r="AS144" s="558" t="n"/>
      <c r="AT144" s="558" t="n"/>
      <c r="AU144" s="558" t="n"/>
      <c r="AV144" s="558" t="n"/>
      <c r="AW144" s="558" t="n"/>
      <c r="AX144" s="558" t="n"/>
      <c r="AY144" s="558" t="n"/>
      <c r="AZ144" s="558" t="n"/>
    </row>
    <row r="145" hidden="1" ht="13.5" customHeight="1" s="418">
      <c r="A145" s="543" t="n"/>
      <c r="B145" s="670" t="n"/>
      <c r="C145" s="543" t="n"/>
      <c r="D145" s="556" t="n"/>
      <c r="E145" s="556" t="n"/>
      <c r="F145" s="556" t="n"/>
      <c r="G145" s="544" t="n"/>
      <c r="H145" s="544" t="n"/>
      <c r="I145" s="662" t="n"/>
      <c r="J145" s="640" t="n"/>
      <c r="K145" s="564" t="n"/>
      <c r="L145" s="644" t="n"/>
      <c r="M145" s="564" t="n"/>
      <c r="N145" s="184">
        <f>I145-K145-M145</f>
        <v/>
      </c>
      <c r="O145" s="685" t="n"/>
      <c r="P145" s="593" t="n"/>
      <c r="Q145" s="593" t="n"/>
      <c r="R145" s="593" t="n"/>
      <c r="S145" s="593" t="n"/>
      <c r="T145" s="558" t="n"/>
      <c r="U145" s="211" t="n"/>
      <c r="V145" s="558" t="n"/>
      <c r="W145" s="558" t="n"/>
      <c r="X145" s="558" t="n"/>
      <c r="Y145" s="558" t="n"/>
      <c r="Z145" s="558" t="n"/>
      <c r="AA145" s="558" t="n"/>
      <c r="AB145" s="558" t="n"/>
      <c r="AC145" s="558" t="n"/>
      <c r="AD145" s="558" t="n"/>
      <c r="AE145" s="558" t="n"/>
      <c r="AF145" s="558" t="n"/>
      <c r="AG145" s="558" t="n"/>
      <c r="AH145" s="558" t="n"/>
      <c r="AI145" s="558" t="n"/>
      <c r="AJ145" s="558" t="n"/>
      <c r="AK145" s="558" t="n"/>
      <c r="AL145" s="558" t="n"/>
      <c r="AM145" s="558" t="n"/>
      <c r="AN145" s="558" t="n"/>
      <c r="AO145" s="558" t="n"/>
      <c r="AP145" s="558" t="n"/>
      <c r="AQ145" s="558" t="n"/>
      <c r="AR145" s="558" t="n"/>
      <c r="AS145" s="558" t="n"/>
      <c r="AT145" s="558" t="n"/>
      <c r="AU145" s="558" t="n"/>
      <c r="AV145" s="558" t="n"/>
      <c r="AW145" s="558" t="n"/>
      <c r="AX145" s="558" t="n"/>
      <c r="AY145" s="558" t="n"/>
      <c r="AZ145" s="558" t="n"/>
    </row>
    <row r="146" hidden="1" ht="13.5" customHeight="1" s="418">
      <c r="A146" s="543" t="n"/>
      <c r="B146" s="670" t="n"/>
      <c r="C146" s="543" t="n"/>
      <c r="D146" s="556" t="n"/>
      <c r="E146" s="556" t="n"/>
      <c r="F146" s="556" t="n"/>
      <c r="G146" s="544" t="n"/>
      <c r="H146" s="544" t="n"/>
      <c r="I146" s="662" t="n"/>
      <c r="J146" s="653" t="n"/>
      <c r="K146" s="654" t="n"/>
      <c r="L146" s="644" t="n"/>
      <c r="M146" s="564" t="n"/>
      <c r="N146" s="184">
        <f>I146-K146-M146</f>
        <v/>
      </c>
      <c r="O146" s="685" t="n"/>
      <c r="P146" s="593" t="n"/>
      <c r="Q146" s="593" t="n"/>
      <c r="R146" s="593" t="n"/>
      <c r="S146" s="593" t="n"/>
      <c r="T146" s="558" t="n"/>
      <c r="U146" s="211" t="n"/>
      <c r="V146" s="558" t="n"/>
      <c r="W146" s="558" t="n"/>
      <c r="X146" s="558" t="n"/>
      <c r="Y146" s="558" t="n"/>
      <c r="Z146" s="558" t="n"/>
      <c r="AA146" s="558" t="n"/>
      <c r="AB146" s="558" t="n"/>
      <c r="AC146" s="558" t="n"/>
      <c r="AD146" s="558" t="n"/>
      <c r="AE146" s="558" t="n"/>
      <c r="AF146" s="558" t="n"/>
      <c r="AG146" s="558" t="n"/>
      <c r="AH146" s="558" t="n"/>
      <c r="AI146" s="558" t="n"/>
      <c r="AJ146" s="558" t="n"/>
      <c r="AK146" s="558" t="n"/>
      <c r="AL146" s="558" t="n"/>
      <c r="AM146" s="558" t="n"/>
      <c r="AN146" s="558" t="n"/>
      <c r="AO146" s="558" t="n"/>
      <c r="AP146" s="558" t="n"/>
      <c r="AQ146" s="558" t="n"/>
      <c r="AR146" s="558" t="n"/>
      <c r="AS146" s="558" t="n"/>
      <c r="AT146" s="558" t="n"/>
      <c r="AU146" s="558" t="n"/>
      <c r="AV146" s="558" t="n"/>
      <c r="AW146" s="558" t="n"/>
      <c r="AX146" s="558" t="n"/>
      <c r="AY146" s="558" t="n"/>
      <c r="AZ146" s="558" t="n"/>
    </row>
    <row r="147" hidden="1" ht="13.5" customHeight="1" s="418">
      <c r="A147" s="543" t="n"/>
      <c r="B147" s="682" t="n"/>
      <c r="C147" s="577" t="n"/>
      <c r="D147" s="578" t="n"/>
      <c r="E147" s="578" t="n"/>
      <c r="F147" s="578" t="n"/>
      <c r="G147" s="579" t="n"/>
      <c r="H147" s="579" t="n"/>
      <c r="I147" s="683" t="n"/>
      <c r="J147" s="653" t="n"/>
      <c r="K147" s="654" t="n"/>
      <c r="L147" s="644" t="n"/>
      <c r="M147" s="564" t="n"/>
      <c r="N147" s="184">
        <f>I147-K147-M147</f>
        <v/>
      </c>
      <c r="O147" s="685" t="n"/>
      <c r="P147" s="696" t="n"/>
      <c r="Q147" s="593" t="n"/>
      <c r="R147" s="593" t="n"/>
      <c r="S147" s="584" t="n"/>
      <c r="T147" s="558" t="n"/>
      <c r="U147" s="211" t="n"/>
      <c r="V147" s="558" t="n"/>
      <c r="W147" s="558" t="n"/>
      <c r="X147" s="558" t="n"/>
      <c r="Y147" s="558" t="n"/>
      <c r="Z147" s="558" t="n"/>
      <c r="AA147" s="558" t="n"/>
      <c r="AB147" s="558" t="n"/>
      <c r="AC147" s="558" t="n"/>
      <c r="AD147" s="558" t="n"/>
      <c r="AE147" s="558" t="n"/>
      <c r="AF147" s="558" t="n"/>
      <c r="AG147" s="558" t="n"/>
      <c r="AH147" s="558" t="n"/>
      <c r="AI147" s="558" t="n"/>
      <c r="AJ147" s="558" t="n"/>
      <c r="AK147" s="558" t="n"/>
      <c r="AL147" s="558" t="n"/>
      <c r="AM147" s="558" t="n"/>
      <c r="AN147" s="558" t="n"/>
      <c r="AO147" s="558" t="n"/>
      <c r="AP147" s="558" t="n"/>
      <c r="AQ147" s="558" t="n"/>
      <c r="AR147" s="558" t="n"/>
      <c r="AS147" s="558" t="n"/>
      <c r="AT147" s="558" t="n"/>
      <c r="AU147" s="558" t="n"/>
      <c r="AV147" s="558" t="n"/>
      <c r="AW147" s="558" t="n"/>
      <c r="AX147" s="558" t="n"/>
      <c r="AY147" s="558" t="n"/>
      <c r="AZ147" s="558" t="n"/>
    </row>
    <row r="148" hidden="1" ht="13.5" customHeight="1" s="418">
      <c r="A148" s="697" t="n"/>
      <c r="B148" s="698" t="n"/>
      <c r="C148" s="698" t="n"/>
      <c r="D148" s="698" t="n"/>
      <c r="E148" s="698" t="n"/>
      <c r="F148" s="698" t="n"/>
      <c r="G148" s="698" t="n"/>
      <c r="H148" s="698" t="n"/>
      <c r="I148" s="698" t="n"/>
      <c r="J148" s="698" t="n"/>
      <c r="K148" s="698" t="n"/>
      <c r="L148" s="698" t="n"/>
      <c r="M148" s="699" t="n"/>
      <c r="N148" s="208">
        <f>SUM(N141:N147)</f>
        <v/>
      </c>
      <c r="O148" s="650" t="n"/>
      <c r="P148" s="588" t="n"/>
      <c r="Q148" s="589" t="n"/>
      <c r="R148" s="589" t="n"/>
      <c r="S148" s="589" t="n"/>
      <c r="T148" s="558" t="n"/>
      <c r="U148" s="211" t="n"/>
      <c r="V148" s="558" t="n"/>
      <c r="W148" s="558" t="n"/>
      <c r="X148" s="558" t="n"/>
      <c r="Y148" s="558" t="n"/>
      <c r="Z148" s="558" t="n"/>
      <c r="AA148" s="558" t="n"/>
      <c r="AB148" s="558" t="n"/>
      <c r="AC148" s="558" t="n"/>
      <c r="AD148" s="558" t="n"/>
      <c r="AE148" s="558" t="n"/>
      <c r="AF148" s="558" t="n"/>
      <c r="AG148" s="558" t="n"/>
      <c r="AH148" s="558" t="n"/>
      <c r="AI148" s="558" t="n"/>
      <c r="AJ148" s="558" t="n"/>
      <c r="AK148" s="558" t="n"/>
      <c r="AL148" s="558" t="n"/>
      <c r="AM148" s="558" t="n"/>
      <c r="AN148" s="558" t="n"/>
      <c r="AO148" s="558" t="n"/>
      <c r="AP148" s="558" t="n"/>
      <c r="AQ148" s="558" t="n"/>
      <c r="AR148" s="558" t="n"/>
      <c r="AS148" s="558" t="n"/>
      <c r="AT148" s="558" t="n"/>
      <c r="AU148" s="558" t="n"/>
      <c r="AV148" s="558" t="n"/>
      <c r="AW148" s="558" t="n"/>
      <c r="AX148" s="558" t="n"/>
      <c r="AY148" s="558" t="n"/>
      <c r="AZ148" s="558" t="n"/>
    </row>
    <row r="149" ht="13.5" customHeight="1" s="418">
      <c r="A149" s="485" t="n"/>
      <c r="B149" s="486" t="n"/>
      <c r="C149" s="486" t="n"/>
      <c r="D149" s="486" t="n"/>
      <c r="E149" s="486" t="n"/>
      <c r="F149" s="486" t="n"/>
      <c r="G149" s="486" t="n"/>
      <c r="H149" s="486" t="n"/>
      <c r="I149" s="486" t="n"/>
      <c r="J149" s="486" t="n"/>
      <c r="K149" s="486" t="n"/>
      <c r="L149" s="486" t="n"/>
      <c r="M149" s="487" t="n"/>
      <c r="N149" s="221">
        <f>+N115+N106+N96+N87+N76+N66+N55+N44+N33+N132+N140+N148+N124</f>
        <v/>
      </c>
      <c r="O149" s="485" t="n"/>
      <c r="P149" s="494" t="n"/>
      <c r="Q149" s="494" t="n"/>
      <c r="R149" s="494" t="n"/>
      <c r="S149" s="494" t="n"/>
      <c r="T149" s="558" t="n"/>
      <c r="U149" s="211" t="n"/>
      <c r="V149" s="558" t="n"/>
      <c r="W149" s="558" t="n"/>
      <c r="X149" s="558" t="n"/>
      <c r="Y149" s="558" t="n"/>
      <c r="Z149" s="558" t="n"/>
      <c r="AA149" s="558" t="n"/>
      <c r="AB149" s="558" t="n"/>
      <c r="AC149" s="558" t="n"/>
      <c r="AD149" s="558" t="n"/>
      <c r="AE149" s="558" t="n"/>
      <c r="AF149" s="558" t="n"/>
      <c r="AG149" s="558" t="n"/>
      <c r="AH149" s="558" t="n"/>
      <c r="AI149" s="558" t="n"/>
      <c r="AJ149" s="558" t="n"/>
      <c r="AK149" s="558" t="n"/>
      <c r="AL149" s="558" t="n"/>
      <c r="AM149" s="558" t="n"/>
      <c r="AN149" s="558" t="n"/>
      <c r="AO149" s="558" t="n"/>
      <c r="AP149" s="558" t="n"/>
      <c r="AQ149" s="558" t="n"/>
      <c r="AR149" s="558" t="n"/>
      <c r="AS149" s="599" t="n"/>
      <c r="AT149" s="599" t="n"/>
      <c r="AU149" s="599" t="n"/>
      <c r="AV149" s="599" t="n"/>
      <c r="AW149" s="599" t="n"/>
      <c r="AX149" s="599" t="n"/>
      <c r="AY149" s="599" t="n"/>
      <c r="AZ149" s="599" t="n"/>
    </row>
    <row r="150" ht="11.25" customHeight="1" s="418">
      <c r="A150" s="550" t="n"/>
      <c r="B150" s="550" t="n"/>
      <c r="C150" s="550" t="n"/>
      <c r="D150" s="551" t="n"/>
      <c r="E150" s="551" t="n"/>
      <c r="F150" s="551" t="n"/>
      <c r="G150" s="552" t="n"/>
      <c r="H150" s="552" t="n"/>
      <c r="I150" s="552" t="n"/>
      <c r="N150" s="460" t="n"/>
      <c r="P150" s="611" t="n"/>
      <c r="Q150" s="566" t="n"/>
    </row>
    <row r="151" ht="11.25" customHeight="1" s="418">
      <c r="A151" s="550" t="n"/>
      <c r="B151" s="550" t="n"/>
      <c r="C151" s="550" t="n"/>
      <c r="D151" s="551" t="n"/>
      <c r="E151" s="551" t="n"/>
      <c r="F151" s="551" t="n"/>
      <c r="G151" s="552" t="n"/>
      <c r="H151" s="552" t="n"/>
      <c r="I151" s="552" t="n"/>
      <c r="N151" s="326" t="n"/>
      <c r="Q151" s="700" t="n"/>
    </row>
    <row r="152" ht="11.25" customHeight="1" s="418">
      <c r="A152" s="550" t="n"/>
      <c r="B152" s="550" t="n"/>
      <c r="C152" s="550" t="n"/>
      <c r="D152" s="551" t="n"/>
      <c r="E152" s="551" t="n"/>
      <c r="F152" s="551" t="n"/>
      <c r="G152" s="552" t="n"/>
      <c r="H152" s="552" t="n"/>
      <c r="I152" s="552" t="n"/>
      <c r="N152" s="326" t="n"/>
      <c r="Q152" s="700" t="n"/>
    </row>
    <row r="153" ht="11.25" customHeight="1" s="418">
      <c r="A153" s="550" t="n"/>
      <c r="B153" s="550" t="n"/>
      <c r="C153" s="550" t="n"/>
      <c r="D153" s="551" t="n"/>
      <c r="E153" s="551" t="n"/>
      <c r="F153" s="551" t="n"/>
      <c r="G153" s="552" t="n"/>
      <c r="H153" s="552" t="n"/>
      <c r="I153" s="552" t="n"/>
      <c r="N153" s="326" t="n"/>
      <c r="Q153" s="700" t="n"/>
    </row>
    <row r="154" ht="11.25" customHeight="1" s="418">
      <c r="A154" s="550" t="n"/>
      <c r="B154" s="550" t="n"/>
      <c r="C154" s="550" t="n"/>
      <c r="D154" s="551" t="n"/>
      <c r="E154" s="551" t="n"/>
      <c r="F154" s="551" t="n"/>
      <c r="G154" s="552" t="n"/>
      <c r="H154" s="552" t="n"/>
      <c r="I154" s="552" t="n"/>
      <c r="N154" s="326" t="n"/>
      <c r="Q154" s="700" t="n"/>
    </row>
    <row r="155" ht="11.25" customHeight="1" s="418">
      <c r="A155" s="550" t="n"/>
      <c r="B155" s="550" t="n"/>
      <c r="C155" s="550" t="n"/>
      <c r="D155" s="551" t="n"/>
      <c r="E155" s="551" t="n"/>
      <c r="F155" s="551" t="n"/>
      <c r="G155" s="552" t="n"/>
      <c r="H155" s="552" t="n"/>
      <c r="I155" s="552" t="n"/>
      <c r="N155" s="326" t="n"/>
      <c r="Q155" s="700" t="n"/>
    </row>
    <row r="156" ht="11.25" customHeight="1" s="418">
      <c r="A156" s="550" t="n"/>
      <c r="B156" s="550" t="n"/>
      <c r="C156" s="550" t="n"/>
      <c r="D156" s="551" t="n"/>
      <c r="E156" s="551" t="n"/>
      <c r="F156" s="551" t="n"/>
      <c r="G156" s="552" t="n"/>
      <c r="H156" s="552" t="n"/>
      <c r="I156" s="552" t="n"/>
      <c r="N156" s="326" t="n"/>
      <c r="Q156" s="700" t="n"/>
    </row>
    <row r="157" ht="11.25" customHeight="1" s="418">
      <c r="A157" s="550" t="n"/>
      <c r="B157" s="550" t="n"/>
      <c r="C157" s="550" t="n"/>
      <c r="D157" s="551" t="n"/>
      <c r="E157" s="551" t="n"/>
      <c r="F157" s="551" t="n"/>
      <c r="G157" s="552" t="n"/>
      <c r="H157" s="552" t="n"/>
      <c r="I157" s="552" t="n"/>
      <c r="N157" s="326" t="n"/>
      <c r="Q157" s="700" t="n"/>
    </row>
    <row r="158" ht="11.25" customHeight="1" s="418">
      <c r="A158" s="550" t="n"/>
      <c r="B158" s="550" t="n"/>
      <c r="C158" s="550" t="n"/>
      <c r="D158" s="551" t="n"/>
      <c r="E158" s="551" t="n"/>
      <c r="F158" s="551" t="n"/>
      <c r="G158" s="552" t="n"/>
      <c r="H158" s="552" t="n"/>
      <c r="I158" s="552" t="n"/>
      <c r="N158" s="326" t="n"/>
      <c r="Q158" s="700" t="n"/>
    </row>
    <row r="159" ht="11.25" customHeight="1" s="418">
      <c r="A159" s="550" t="n"/>
      <c r="B159" s="550" t="n"/>
      <c r="C159" s="550" t="n"/>
      <c r="D159" s="551" t="n"/>
      <c r="E159" s="551" t="n"/>
      <c r="F159" s="551" t="n"/>
      <c r="G159" s="552" t="n"/>
      <c r="H159" s="552" t="n"/>
      <c r="I159" s="552" t="n"/>
      <c r="N159" s="326" t="n"/>
      <c r="Q159" s="700" t="n"/>
    </row>
    <row r="160" ht="11.25" customHeight="1" s="418">
      <c r="A160" s="550" t="n"/>
      <c r="B160" s="550" t="n"/>
      <c r="C160" s="550" t="n"/>
      <c r="D160" s="551" t="n"/>
      <c r="E160" s="551" t="n"/>
      <c r="F160" s="551" t="n"/>
      <c r="G160" s="552" t="n"/>
      <c r="H160" s="552" t="n"/>
      <c r="I160" s="552" t="n"/>
      <c r="N160" s="326" t="n"/>
      <c r="Q160" s="700" t="n"/>
    </row>
    <row r="161" ht="11.25" customHeight="1" s="418">
      <c r="A161" s="550" t="n"/>
      <c r="B161" s="550" t="n"/>
      <c r="C161" s="550" t="n"/>
      <c r="D161" s="551" t="n"/>
      <c r="E161" s="551" t="n"/>
      <c r="F161" s="551" t="n"/>
      <c r="G161" s="552" t="n"/>
      <c r="H161" s="552" t="n"/>
      <c r="I161" s="552" t="n"/>
      <c r="N161" s="326" t="n"/>
      <c r="Q161" s="700" t="n"/>
    </row>
    <row r="162" ht="11.25" customHeight="1" s="418">
      <c r="A162" s="550" t="n"/>
      <c r="B162" s="550" t="n"/>
      <c r="C162" s="550" t="n"/>
      <c r="D162" s="551" t="n"/>
      <c r="E162" s="551" t="n"/>
      <c r="F162" s="551" t="n"/>
      <c r="G162" s="552" t="n"/>
      <c r="H162" s="552" t="n"/>
      <c r="I162" s="552" t="n"/>
      <c r="N162" s="326" t="n"/>
      <c r="Q162" s="700" t="n"/>
    </row>
    <row r="163" ht="11.25" customHeight="1" s="418">
      <c r="A163" s="550" t="n"/>
      <c r="B163" s="550" t="n"/>
      <c r="C163" s="550" t="n"/>
      <c r="D163" s="551" t="n"/>
      <c r="E163" s="551" t="n"/>
      <c r="F163" s="551" t="n"/>
      <c r="G163" s="552" t="n"/>
      <c r="H163" s="552" t="n"/>
      <c r="I163" s="552" t="n"/>
      <c r="N163" s="326" t="n"/>
      <c r="Q163" s="700" t="n"/>
    </row>
    <row r="164" ht="13.5" customHeight="1" s="418">
      <c r="A164" s="543" t="n"/>
      <c r="B164" s="701" t="n"/>
      <c r="C164" s="701" t="n"/>
      <c r="D164" s="702" t="n"/>
      <c r="E164" s="702" t="n"/>
      <c r="F164" s="702" t="n"/>
      <c r="G164" s="703" t="n"/>
      <c r="H164" s="703" t="n"/>
      <c r="I164" s="703" t="n"/>
    </row>
    <row r="165" ht="13.5" customHeight="1" s="418">
      <c r="A165" s="543" t="n"/>
      <c r="B165" s="701" t="n"/>
      <c r="C165" s="701" t="n"/>
      <c r="D165" s="702" t="n"/>
      <c r="E165" s="702" t="n"/>
      <c r="F165" s="702" t="n"/>
      <c r="G165" s="703" t="n"/>
      <c r="H165" s="703" t="n"/>
      <c r="I165" s="703" t="n"/>
    </row>
    <row r="166" ht="13.5" customHeight="1" s="418">
      <c r="A166" s="543" t="n"/>
      <c r="B166" s="701" t="n"/>
      <c r="C166" s="701" t="n"/>
      <c r="D166" s="702" t="n"/>
      <c r="E166" s="702" t="n"/>
      <c r="F166" s="702" t="n"/>
      <c r="G166" s="703" t="n"/>
      <c r="H166" s="703" t="n"/>
      <c r="I166" s="703" t="n"/>
    </row>
    <row r="167" ht="13.5" customHeight="1" s="418">
      <c r="A167" s="543" t="n"/>
      <c r="B167" s="701" t="n"/>
      <c r="C167" s="701" t="n"/>
      <c r="D167" s="702" t="n"/>
      <c r="E167" s="702" t="n"/>
      <c r="F167" s="702" t="n"/>
      <c r="G167" s="703" t="n"/>
      <c r="H167" s="703" t="n"/>
      <c r="I167" s="703" t="n"/>
    </row>
    <row r="168" ht="13.5" customHeight="1" s="418">
      <c r="A168" s="543" t="n"/>
      <c r="B168" s="701" t="n"/>
      <c r="C168" s="701" t="n"/>
      <c r="D168" s="702" t="n"/>
      <c r="E168" s="702" t="n"/>
      <c r="F168" s="702" t="n"/>
      <c r="G168" s="703" t="n"/>
      <c r="H168" s="703" t="n"/>
      <c r="I168" s="703" t="n"/>
    </row>
    <row r="169" ht="13.5" customHeight="1" s="418">
      <c r="A169" s="543" t="n"/>
      <c r="B169" s="701" t="n"/>
      <c r="C169" s="701" t="n"/>
      <c r="D169" s="702" t="n"/>
      <c r="E169" s="702" t="n"/>
      <c r="F169" s="702" t="n"/>
      <c r="G169" s="703" t="n"/>
      <c r="H169" s="703" t="n"/>
      <c r="I169" s="703" t="n"/>
    </row>
    <row r="170" ht="13.5" customHeight="1" s="418">
      <c r="A170" s="543" t="n"/>
      <c r="B170" s="701" t="n"/>
      <c r="C170" s="701" t="n"/>
      <c r="D170" s="702" t="n"/>
      <c r="E170" s="702" t="n"/>
      <c r="F170" s="702" t="n"/>
      <c r="G170" s="703" t="n"/>
      <c r="H170" s="703" t="n"/>
      <c r="I170" s="703" t="n"/>
    </row>
    <row r="171" ht="13.5" customHeight="1" s="418">
      <c r="A171" s="543" t="n"/>
      <c r="B171" s="701" t="n"/>
      <c r="C171" s="701" t="n"/>
      <c r="D171" s="702" t="n"/>
      <c r="E171" s="702" t="n"/>
      <c r="F171" s="702" t="n"/>
      <c r="G171" s="703" t="n"/>
      <c r="H171" s="703" t="n"/>
      <c r="I171" s="703" t="n"/>
    </row>
    <row r="172" ht="13.5" customHeight="1" s="418">
      <c r="A172" s="543" t="n"/>
      <c r="B172" s="701" t="n"/>
      <c r="C172" s="701" t="n"/>
      <c r="D172" s="702" t="n"/>
      <c r="E172" s="702" t="n"/>
      <c r="F172" s="702" t="n"/>
      <c r="G172" s="703" t="n"/>
      <c r="H172" s="703" t="n"/>
      <c r="I172" s="703" t="n"/>
    </row>
    <row r="173" ht="13.5" customHeight="1" s="418">
      <c r="A173" s="543" t="n"/>
      <c r="B173" s="701" t="n"/>
      <c r="C173" s="701" t="n"/>
      <c r="D173" s="702" t="n"/>
      <c r="E173" s="702" t="n"/>
      <c r="F173" s="702" t="n"/>
      <c r="G173" s="703" t="n"/>
      <c r="H173" s="703" t="n"/>
      <c r="I173" s="703" t="n"/>
    </row>
    <row r="174" ht="13.5" customHeight="1" s="418">
      <c r="A174" s="543" t="n"/>
      <c r="B174" s="701" t="n"/>
      <c r="C174" s="701" t="n"/>
      <c r="D174" s="702" t="n"/>
      <c r="E174" s="702" t="n"/>
      <c r="F174" s="702" t="n"/>
      <c r="G174" s="703" t="n"/>
      <c r="H174" s="703" t="n"/>
      <c r="I174" s="703" t="n"/>
    </row>
    <row r="175" ht="13.5" customHeight="1" s="418">
      <c r="A175" s="543" t="n"/>
      <c r="B175" s="701" t="n"/>
      <c r="C175" s="701" t="n"/>
      <c r="D175" s="702" t="n"/>
      <c r="E175" s="702" t="n"/>
      <c r="F175" s="702" t="n"/>
      <c r="G175" s="703" t="n"/>
      <c r="H175" s="703" t="n"/>
      <c r="I175" s="703" t="n"/>
    </row>
    <row r="176" ht="13.5" customHeight="1" s="418">
      <c r="A176" s="543" t="n"/>
      <c r="B176" s="701" t="n"/>
      <c r="C176" s="701" t="n"/>
      <c r="D176" s="702" t="n"/>
      <c r="E176" s="702" t="n"/>
      <c r="F176" s="702" t="n"/>
      <c r="G176" s="703" t="n"/>
      <c r="H176" s="703" t="n"/>
      <c r="I176" s="703" t="n"/>
    </row>
    <row r="177" ht="13.5" customHeight="1" s="418">
      <c r="A177" s="543" t="n"/>
      <c r="B177" s="701" t="n"/>
      <c r="C177" s="701" t="n"/>
      <c r="D177" s="702" t="n"/>
      <c r="E177" s="702" t="n"/>
      <c r="F177" s="702" t="n"/>
      <c r="G177" s="703" t="n"/>
      <c r="H177" s="703" t="n"/>
      <c r="I177" s="703" t="n"/>
    </row>
    <row r="178" ht="13.5" customHeight="1" s="418">
      <c r="A178" s="543" t="n"/>
      <c r="B178" s="701" t="n"/>
      <c r="C178" s="701" t="n"/>
      <c r="D178" s="702" t="n"/>
      <c r="E178" s="702" t="n"/>
      <c r="F178" s="702" t="n"/>
      <c r="G178" s="703" t="n"/>
      <c r="H178" s="703" t="n"/>
      <c r="I178" s="703" t="n"/>
    </row>
    <row r="179" ht="13.5" customHeight="1" s="418">
      <c r="A179" s="543" t="n"/>
      <c r="B179" s="701" t="n"/>
      <c r="C179" s="701" t="n"/>
      <c r="D179" s="702" t="n"/>
      <c r="E179" s="702" t="n"/>
      <c r="F179" s="702" t="n"/>
      <c r="G179" s="703" t="n"/>
      <c r="H179" s="703" t="n"/>
      <c r="I179" s="703" t="n"/>
    </row>
    <row r="180" ht="13.5" customHeight="1" s="418">
      <c r="A180" s="543" t="n"/>
      <c r="B180" s="701" t="n"/>
      <c r="C180" s="701" t="n"/>
      <c r="D180" s="702" t="n"/>
      <c r="E180" s="702" t="n"/>
      <c r="F180" s="702" t="n"/>
      <c r="G180" s="703" t="n"/>
      <c r="H180" s="703" t="n"/>
      <c r="I180" s="703" t="n"/>
    </row>
    <row r="181" ht="13.5" customHeight="1" s="418">
      <c r="A181" s="543" t="n"/>
      <c r="B181" s="701" t="n"/>
      <c r="C181" s="701" t="n"/>
      <c r="D181" s="702" t="n"/>
      <c r="E181" s="702" t="n"/>
      <c r="F181" s="702" t="n"/>
      <c r="G181" s="703" t="n"/>
      <c r="H181" s="703" t="n"/>
      <c r="I181" s="703" t="n"/>
    </row>
    <row r="182" ht="13.5" customHeight="1" s="418">
      <c r="A182" s="543" t="n"/>
      <c r="B182" s="701" t="n"/>
      <c r="C182" s="701" t="n"/>
      <c r="D182" s="702" t="n"/>
      <c r="E182" s="702" t="n"/>
      <c r="F182" s="702" t="n"/>
      <c r="G182" s="703" t="n"/>
      <c r="H182" s="703" t="n"/>
      <c r="I182" s="703" t="n"/>
    </row>
    <row r="183" ht="13.5" customHeight="1" s="418">
      <c r="A183" s="543" t="n"/>
      <c r="B183" s="701" t="n"/>
      <c r="C183" s="701" t="n"/>
      <c r="D183" s="702" t="n"/>
      <c r="E183" s="702" t="n"/>
      <c r="F183" s="702" t="n"/>
      <c r="G183" s="703" t="n"/>
      <c r="H183" s="703" t="n"/>
      <c r="I183" s="703" t="n"/>
    </row>
    <row r="184" ht="13.5" customHeight="1" s="418">
      <c r="A184" s="543" t="n"/>
      <c r="B184" s="701" t="n"/>
      <c r="C184" s="701" t="n"/>
      <c r="D184" s="702" t="n"/>
      <c r="E184" s="702" t="n"/>
      <c r="F184" s="702" t="n"/>
      <c r="G184" s="703" t="n"/>
      <c r="H184" s="703" t="n"/>
      <c r="I184" s="703" t="n"/>
    </row>
    <row r="185" ht="13.5" customHeight="1" s="418">
      <c r="A185" s="543" t="n"/>
      <c r="B185" s="701" t="n"/>
      <c r="C185" s="701" t="n"/>
      <c r="D185" s="702" t="n"/>
      <c r="E185" s="702" t="n"/>
      <c r="F185" s="702" t="n"/>
      <c r="G185" s="703" t="n"/>
      <c r="H185" s="703" t="n"/>
      <c r="I185" s="703" t="n"/>
    </row>
    <row r="186" ht="13.5" customHeight="1" s="418">
      <c r="A186" s="543" t="n"/>
      <c r="B186" s="701" t="n"/>
      <c r="C186" s="701" t="n"/>
      <c r="D186" s="702" t="n"/>
      <c r="E186" s="702" t="n"/>
      <c r="F186" s="702" t="n"/>
      <c r="G186" s="703" t="n"/>
      <c r="H186" s="703" t="n"/>
      <c r="I186" s="703" t="n"/>
    </row>
    <row r="187" ht="13.5" customHeight="1" s="418">
      <c r="A187" s="543" t="n"/>
      <c r="B187" s="701" t="n"/>
      <c r="C187" s="701" t="n"/>
      <c r="D187" s="702" t="n"/>
      <c r="E187" s="702" t="n"/>
      <c r="F187" s="702" t="n"/>
      <c r="G187" s="703" t="n"/>
      <c r="H187" s="703" t="n"/>
      <c r="I187" s="703" t="n"/>
    </row>
    <row r="188" ht="13.5" customHeight="1" s="418">
      <c r="A188" s="543" t="n"/>
      <c r="B188" s="701" t="n"/>
      <c r="C188" s="701" t="n"/>
      <c r="D188" s="702" t="n"/>
      <c r="E188" s="702" t="n"/>
      <c r="F188" s="702" t="n"/>
      <c r="G188" s="703" t="n"/>
      <c r="H188" s="703" t="n"/>
      <c r="I188" s="703" t="n"/>
    </row>
    <row r="189" ht="13.5" customHeight="1" s="418">
      <c r="A189" s="543" t="n"/>
      <c r="B189" s="701" t="n"/>
      <c r="C189" s="701" t="n"/>
      <c r="D189" s="702" t="n"/>
      <c r="E189" s="702" t="n"/>
      <c r="F189" s="702" t="n"/>
      <c r="G189" s="703" t="n"/>
      <c r="H189" s="703" t="n"/>
      <c r="I189" s="703" t="n"/>
    </row>
    <row r="190" ht="13.5" customHeight="1" s="418">
      <c r="A190" s="543" t="n"/>
      <c r="B190" s="701" t="n"/>
      <c r="C190" s="701" t="n"/>
      <c r="D190" s="702" t="n"/>
      <c r="E190" s="702" t="n"/>
      <c r="F190" s="702" t="n"/>
      <c r="G190" s="703" t="n"/>
      <c r="H190" s="703" t="n"/>
      <c r="I190" s="703" t="n"/>
    </row>
    <row r="191" ht="13.5" customHeight="1" s="418">
      <c r="A191" s="543" t="n"/>
      <c r="B191" s="701" t="n"/>
      <c r="C191" s="701" t="n"/>
      <c r="D191" s="702" t="n"/>
      <c r="E191" s="702" t="n"/>
      <c r="F191" s="702" t="n"/>
      <c r="G191" s="703" t="n"/>
      <c r="H191" s="703" t="n"/>
      <c r="I191" s="703" t="n"/>
    </row>
    <row r="192" ht="13.5" customHeight="1" s="418">
      <c r="A192" s="543" t="n"/>
      <c r="B192" s="701" t="n"/>
      <c r="C192" s="701" t="n"/>
      <c r="D192" s="702" t="n"/>
      <c r="E192" s="702" t="n"/>
      <c r="F192" s="702" t="n"/>
      <c r="G192" s="703" t="n"/>
      <c r="H192" s="703" t="n"/>
      <c r="I192" s="703" t="n"/>
    </row>
    <row r="193" ht="13.5" customHeight="1" s="418">
      <c r="A193" s="543" t="n"/>
      <c r="B193" s="701" t="n"/>
      <c r="C193" s="701" t="n"/>
      <c r="D193" s="702" t="n"/>
      <c r="E193" s="702" t="n"/>
      <c r="F193" s="702" t="n"/>
      <c r="G193" s="703" t="n"/>
      <c r="H193" s="703" t="n"/>
      <c r="I193" s="703" t="n"/>
    </row>
    <row r="194" ht="13.5" customHeight="1" s="418">
      <c r="A194" s="543" t="n"/>
      <c r="B194" s="701" t="n"/>
      <c r="C194" s="701" t="n"/>
      <c r="D194" s="702" t="n"/>
      <c r="E194" s="702" t="n"/>
      <c r="F194" s="702" t="n"/>
      <c r="G194" s="703" t="n"/>
      <c r="H194" s="703" t="n"/>
      <c r="I194" s="703" t="n"/>
    </row>
    <row r="195" ht="13.5" customHeight="1" s="418">
      <c r="A195" s="543" t="n"/>
      <c r="B195" s="701" t="n"/>
      <c r="C195" s="701" t="n"/>
      <c r="D195" s="702" t="n"/>
      <c r="E195" s="702" t="n"/>
      <c r="F195" s="702" t="n"/>
      <c r="G195" s="703" t="n"/>
      <c r="H195" s="703" t="n"/>
      <c r="I195" s="703" t="n"/>
    </row>
    <row r="196" ht="13.5" customHeight="1" s="418">
      <c r="A196" s="543" t="n"/>
      <c r="B196" s="701" t="n"/>
      <c r="C196" s="701" t="n"/>
      <c r="D196" s="702" t="n"/>
      <c r="E196" s="702" t="n"/>
      <c r="F196" s="702" t="n"/>
      <c r="G196" s="703" t="n"/>
      <c r="H196" s="703" t="n"/>
      <c r="I196" s="703" t="n"/>
    </row>
    <row r="197" ht="13.5" customHeight="1" s="418">
      <c r="A197" s="543" t="n"/>
      <c r="B197" s="701" t="n"/>
      <c r="C197" s="701" t="n"/>
      <c r="D197" s="702" t="n"/>
      <c r="E197" s="702" t="n"/>
      <c r="F197" s="702" t="n"/>
      <c r="G197" s="703" t="n"/>
      <c r="H197" s="703" t="n"/>
      <c r="I197" s="703" t="n"/>
    </row>
    <row r="198" ht="13.5" customHeight="1" s="418">
      <c r="A198" s="543" t="n"/>
      <c r="B198" s="701" t="n"/>
      <c r="C198" s="701" t="n"/>
      <c r="D198" s="702" t="n"/>
      <c r="E198" s="702" t="n"/>
      <c r="F198" s="702" t="n"/>
      <c r="G198" s="703" t="n"/>
      <c r="H198" s="703" t="n"/>
      <c r="I198" s="703" t="n"/>
    </row>
    <row r="199" ht="13.5" customHeight="1" s="418">
      <c r="A199" s="543" t="n"/>
      <c r="B199" s="701" t="n"/>
      <c r="C199" s="701" t="n"/>
      <c r="D199" s="702" t="n"/>
      <c r="E199" s="702" t="n"/>
      <c r="F199" s="702" t="n"/>
      <c r="G199" s="703" t="n"/>
      <c r="H199" s="703" t="n"/>
      <c r="I199" s="703" t="n"/>
    </row>
    <row r="200" ht="13.5" customHeight="1" s="418">
      <c r="A200" s="543" t="n"/>
      <c r="B200" s="701" t="n"/>
      <c r="C200" s="701" t="n"/>
      <c r="D200" s="702" t="n"/>
      <c r="E200" s="702" t="n"/>
      <c r="F200" s="702" t="n"/>
      <c r="G200" s="703" t="n"/>
      <c r="H200" s="703" t="n"/>
      <c r="I200" s="703" t="n"/>
    </row>
    <row r="201" ht="13.5" customHeight="1" s="418">
      <c r="A201" s="543" t="n"/>
      <c r="B201" s="701" t="n"/>
      <c r="C201" s="701" t="n"/>
      <c r="D201" s="702" t="n"/>
      <c r="E201" s="702" t="n"/>
      <c r="F201" s="702" t="n"/>
      <c r="G201" s="703" t="n"/>
      <c r="H201" s="703" t="n"/>
      <c r="I201" s="703" t="n"/>
    </row>
    <row r="202" ht="13.5" customHeight="1" s="418">
      <c r="A202" s="543" t="n"/>
      <c r="B202" s="701" t="n"/>
      <c r="C202" s="701" t="n"/>
      <c r="D202" s="702" t="n"/>
      <c r="E202" s="702" t="n"/>
      <c r="F202" s="702" t="n"/>
      <c r="G202" s="703" t="n"/>
      <c r="H202" s="703" t="n"/>
      <c r="I202" s="703" t="n"/>
    </row>
    <row r="203" ht="13.5" customHeight="1" s="418">
      <c r="A203" s="543" t="n"/>
      <c r="B203" s="701" t="n"/>
      <c r="C203" s="701" t="n"/>
      <c r="D203" s="702" t="n"/>
      <c r="E203" s="702" t="n"/>
      <c r="F203" s="702" t="n"/>
      <c r="G203" s="703" t="n"/>
      <c r="H203" s="703" t="n"/>
      <c r="I203" s="703" t="n"/>
    </row>
    <row r="204" ht="13.5" customHeight="1" s="418">
      <c r="A204" s="543" t="n"/>
      <c r="B204" s="701" t="n"/>
      <c r="C204" s="701" t="n"/>
      <c r="D204" s="702" t="n"/>
      <c r="E204" s="702" t="n"/>
      <c r="F204" s="702" t="n"/>
      <c r="G204" s="703" t="n"/>
      <c r="H204" s="703" t="n"/>
      <c r="I204" s="703" t="n"/>
    </row>
    <row r="205" ht="13.5" customHeight="1" s="418">
      <c r="A205" s="543" t="n"/>
      <c r="B205" s="701" t="n"/>
      <c r="C205" s="701" t="n"/>
      <c r="D205" s="702" t="n"/>
      <c r="E205" s="702" t="n"/>
      <c r="F205" s="702" t="n"/>
      <c r="G205" s="703" t="n"/>
      <c r="H205" s="703" t="n"/>
      <c r="I205" s="703" t="n"/>
    </row>
    <row r="206" ht="13.5" customHeight="1" s="418">
      <c r="A206" s="543" t="n"/>
      <c r="B206" s="701" t="n"/>
      <c r="C206" s="701" t="n"/>
      <c r="D206" s="702" t="n"/>
      <c r="E206" s="702" t="n"/>
      <c r="F206" s="702" t="n"/>
      <c r="G206" s="703" t="n"/>
      <c r="H206" s="703" t="n"/>
      <c r="I206" s="703" t="n"/>
    </row>
    <row r="207" ht="13.5" customHeight="1" s="418">
      <c r="A207" s="543" t="n"/>
      <c r="B207" s="701" t="n"/>
      <c r="C207" s="701" t="n"/>
      <c r="D207" s="702" t="n"/>
      <c r="E207" s="702" t="n"/>
      <c r="F207" s="702" t="n"/>
      <c r="G207" s="703" t="n"/>
      <c r="H207" s="703" t="n"/>
      <c r="I207" s="703" t="n"/>
    </row>
    <row r="208" ht="13.5" customHeight="1" s="418">
      <c r="A208" s="543" t="n"/>
      <c r="B208" s="701" t="n"/>
      <c r="C208" s="701" t="n"/>
      <c r="D208" s="702" t="n"/>
      <c r="E208" s="702" t="n"/>
      <c r="F208" s="702" t="n"/>
      <c r="G208" s="703" t="n"/>
      <c r="H208" s="703" t="n"/>
      <c r="I208" s="703" t="n"/>
    </row>
    <row r="209" ht="13.5" customHeight="1" s="418">
      <c r="A209" s="543" t="n"/>
      <c r="B209" s="701" t="n"/>
      <c r="C209" s="701" t="n"/>
      <c r="D209" s="702" t="n"/>
      <c r="E209" s="702" t="n"/>
      <c r="F209" s="702" t="n"/>
      <c r="G209" s="703" t="n"/>
      <c r="H209" s="703" t="n"/>
      <c r="I209" s="703" t="n"/>
    </row>
    <row r="210" ht="13.5" customHeight="1" s="418">
      <c r="A210" s="543" t="n"/>
      <c r="B210" s="701" t="n"/>
      <c r="C210" s="701" t="n"/>
      <c r="D210" s="702" t="n"/>
      <c r="E210" s="702" t="n"/>
      <c r="F210" s="702" t="n"/>
      <c r="G210" s="703" t="n"/>
      <c r="H210" s="703" t="n"/>
      <c r="I210" s="703" t="n"/>
    </row>
    <row r="211" ht="13.5" customHeight="1" s="418">
      <c r="A211" s="543" t="n"/>
      <c r="B211" s="701" t="n"/>
      <c r="C211" s="701" t="n"/>
      <c r="D211" s="702" t="n"/>
      <c r="E211" s="702" t="n"/>
      <c r="F211" s="702" t="n"/>
      <c r="G211" s="703" t="n"/>
      <c r="H211" s="703" t="n"/>
      <c r="I211" s="703" t="n"/>
    </row>
    <row r="212" ht="13.5" customHeight="1" s="418">
      <c r="A212" s="543" t="n"/>
      <c r="B212" s="701" t="n"/>
      <c r="C212" s="701" t="n"/>
      <c r="D212" s="702" t="n"/>
      <c r="E212" s="702" t="n"/>
      <c r="F212" s="702" t="n"/>
      <c r="G212" s="703" t="n"/>
      <c r="H212" s="703" t="n"/>
      <c r="I212" s="703" t="n"/>
    </row>
    <row r="213" ht="13.5" customHeight="1" s="418">
      <c r="A213" s="543" t="n"/>
      <c r="B213" s="701" t="n"/>
      <c r="C213" s="701" t="n"/>
      <c r="D213" s="702" t="n"/>
      <c r="E213" s="702" t="n"/>
      <c r="F213" s="702" t="n"/>
      <c r="G213" s="703" t="n"/>
      <c r="H213" s="703" t="n"/>
      <c r="I213" s="703" t="n"/>
    </row>
    <row r="214" ht="13.5" customHeight="1" s="418">
      <c r="A214" s="543" t="n"/>
      <c r="B214" s="701" t="n"/>
      <c r="C214" s="701" t="n"/>
      <c r="D214" s="702" t="n"/>
      <c r="E214" s="702" t="n"/>
      <c r="F214" s="702" t="n"/>
      <c r="G214" s="703" t="n"/>
      <c r="H214" s="703" t="n"/>
      <c r="I214" s="703" t="n"/>
    </row>
    <row r="215" ht="13.5" customHeight="1" s="418">
      <c r="A215" s="543" t="n"/>
      <c r="B215" s="701" t="n"/>
      <c r="C215" s="701" t="n"/>
      <c r="D215" s="702" t="n"/>
      <c r="E215" s="702" t="n"/>
      <c r="F215" s="702" t="n"/>
      <c r="G215" s="703" t="n"/>
      <c r="H215" s="703" t="n"/>
      <c r="I215" s="703" t="n"/>
    </row>
    <row r="216" ht="13.5" customHeight="1" s="418">
      <c r="A216" s="543" t="n"/>
      <c r="B216" s="701" t="n"/>
      <c r="C216" s="701" t="n"/>
      <c r="D216" s="702" t="n"/>
      <c r="E216" s="702" t="n"/>
      <c r="F216" s="702" t="n"/>
      <c r="G216" s="703" t="n"/>
      <c r="H216" s="703" t="n"/>
      <c r="I216" s="703" t="n"/>
    </row>
    <row r="217" ht="13.5" customHeight="1" s="418">
      <c r="A217" s="543" t="n"/>
      <c r="B217" s="701" t="n"/>
      <c r="C217" s="701" t="n"/>
      <c r="D217" s="702" t="n"/>
      <c r="E217" s="702" t="n"/>
      <c r="F217" s="702" t="n"/>
      <c r="G217" s="703" t="n"/>
      <c r="H217" s="703" t="n"/>
      <c r="I217" s="703" t="n"/>
    </row>
    <row r="218" ht="13.5" customHeight="1" s="418">
      <c r="A218" s="543" t="n"/>
      <c r="B218" s="701" t="n"/>
      <c r="C218" s="701" t="n"/>
      <c r="D218" s="702" t="n"/>
      <c r="E218" s="702" t="n"/>
      <c r="F218" s="702" t="n"/>
      <c r="G218" s="703" t="n"/>
      <c r="H218" s="703" t="n"/>
      <c r="I218" s="703" t="n"/>
    </row>
    <row r="219" ht="13.5" customHeight="1" s="418">
      <c r="A219" s="543" t="n"/>
      <c r="B219" s="701" t="n"/>
      <c r="C219" s="701" t="n"/>
      <c r="D219" s="702" t="n"/>
      <c r="E219" s="702" t="n"/>
      <c r="F219" s="702" t="n"/>
      <c r="G219" s="703" t="n"/>
      <c r="H219" s="703" t="n"/>
      <c r="I219" s="703" t="n"/>
    </row>
    <row r="220" ht="13.5" customHeight="1" s="418">
      <c r="A220" s="543" t="n"/>
      <c r="B220" s="701" t="n"/>
      <c r="C220" s="701" t="n"/>
      <c r="D220" s="702" t="n"/>
      <c r="E220" s="702" t="n"/>
      <c r="F220" s="702" t="n"/>
      <c r="G220" s="703" t="n"/>
      <c r="H220" s="703" t="n"/>
      <c r="I220" s="703" t="n"/>
    </row>
    <row r="221" ht="13.5" customHeight="1" s="418">
      <c r="A221" s="543" t="n"/>
      <c r="B221" s="701" t="n"/>
      <c r="C221" s="701" t="n"/>
      <c r="D221" s="702" t="n"/>
      <c r="E221" s="702" t="n"/>
      <c r="F221" s="702" t="n"/>
      <c r="G221" s="703" t="n"/>
      <c r="H221" s="703" t="n"/>
      <c r="I221" s="703" t="n"/>
    </row>
    <row r="222" ht="13.5" customHeight="1" s="418">
      <c r="A222" s="543" t="n"/>
      <c r="B222" s="701" t="n"/>
      <c r="C222" s="701" t="n"/>
      <c r="D222" s="702" t="n"/>
      <c r="E222" s="702" t="n"/>
      <c r="F222" s="702" t="n"/>
      <c r="G222" s="703" t="n"/>
      <c r="H222" s="703" t="n"/>
      <c r="I222" s="703" t="n"/>
    </row>
    <row r="223" ht="13.5" customHeight="1" s="418">
      <c r="A223" s="543" t="n"/>
      <c r="B223" s="701" t="n"/>
      <c r="C223" s="701" t="n"/>
      <c r="D223" s="702" t="n"/>
      <c r="E223" s="702" t="n"/>
      <c r="F223" s="702" t="n"/>
      <c r="G223" s="703" t="n"/>
      <c r="H223" s="703" t="n"/>
      <c r="I223" s="703" t="n"/>
    </row>
    <row r="224" ht="13.5" customHeight="1" s="418">
      <c r="A224" s="543" t="n"/>
      <c r="B224" s="701" t="n"/>
      <c r="C224" s="701" t="n"/>
      <c r="D224" s="702" t="n"/>
      <c r="E224" s="702" t="n"/>
      <c r="F224" s="702" t="n"/>
      <c r="G224" s="703" t="n"/>
      <c r="H224" s="703" t="n"/>
      <c r="I224" s="703" t="n"/>
    </row>
    <row r="225" ht="13.5" customHeight="1" s="418">
      <c r="A225" s="543" t="n"/>
      <c r="B225" s="701" t="n"/>
      <c r="C225" s="701" t="n"/>
      <c r="D225" s="702" t="n"/>
      <c r="E225" s="702" t="n"/>
      <c r="F225" s="702" t="n"/>
      <c r="G225" s="703" t="n"/>
      <c r="H225" s="703" t="n"/>
      <c r="I225" s="703" t="n"/>
    </row>
    <row r="226" ht="13.5" customHeight="1" s="418">
      <c r="A226" s="543" t="n"/>
      <c r="B226" s="701" t="n"/>
      <c r="C226" s="701" t="n"/>
      <c r="D226" s="702" t="n"/>
      <c r="E226" s="702" t="n"/>
      <c r="F226" s="702" t="n"/>
      <c r="G226" s="703" t="n"/>
      <c r="H226" s="703" t="n"/>
      <c r="I226" s="703" t="n"/>
    </row>
    <row r="227" ht="13.5" customHeight="1" s="418">
      <c r="A227" s="543" t="n"/>
      <c r="B227" s="701" t="n"/>
      <c r="C227" s="701" t="n"/>
      <c r="D227" s="702" t="n"/>
      <c r="E227" s="702" t="n"/>
      <c r="F227" s="702" t="n"/>
      <c r="G227" s="703" t="n"/>
      <c r="H227" s="703" t="n"/>
      <c r="I227" s="703" t="n"/>
    </row>
    <row r="228" ht="13.5" customHeight="1" s="418">
      <c r="A228" s="543" t="n"/>
      <c r="B228" s="701" t="n"/>
      <c r="C228" s="701" t="n"/>
      <c r="D228" s="702" t="n"/>
      <c r="E228" s="702" t="n"/>
      <c r="F228" s="702" t="n"/>
      <c r="G228" s="703" t="n"/>
      <c r="H228" s="703" t="n"/>
      <c r="I228" s="703" t="n"/>
    </row>
    <row r="229" ht="13.5" customHeight="1" s="418">
      <c r="A229" s="543" t="n"/>
      <c r="B229" s="701" t="n"/>
      <c r="C229" s="701" t="n"/>
      <c r="D229" s="702" t="n"/>
      <c r="E229" s="702" t="n"/>
      <c r="F229" s="702" t="n"/>
      <c r="G229" s="703" t="n"/>
      <c r="H229" s="703" t="n"/>
      <c r="I229" s="703" t="n"/>
    </row>
    <row r="230" ht="13.5" customHeight="1" s="418">
      <c r="A230" s="543" t="n"/>
      <c r="B230" s="701" t="n"/>
      <c r="C230" s="701" t="n"/>
      <c r="D230" s="702" t="n"/>
      <c r="E230" s="702" t="n"/>
      <c r="F230" s="702" t="n"/>
      <c r="G230" s="703" t="n"/>
      <c r="H230" s="703" t="n"/>
      <c r="I230" s="703" t="n"/>
    </row>
    <row r="231" ht="13.5" customHeight="1" s="418">
      <c r="A231" s="543" t="n"/>
      <c r="B231" s="701" t="n"/>
      <c r="C231" s="701" t="n"/>
      <c r="D231" s="702" t="n"/>
      <c r="E231" s="702" t="n"/>
      <c r="F231" s="702" t="n"/>
      <c r="G231" s="703" t="n"/>
      <c r="H231" s="703" t="n"/>
      <c r="I231" s="703" t="n"/>
    </row>
    <row r="232" ht="13.5" customHeight="1" s="418">
      <c r="A232" s="543" t="n"/>
      <c r="B232" s="701" t="n"/>
      <c r="C232" s="701" t="n"/>
      <c r="D232" s="702" t="n"/>
      <c r="E232" s="702" t="n"/>
      <c r="F232" s="702" t="n"/>
      <c r="G232" s="703" t="n"/>
      <c r="H232" s="703" t="n"/>
      <c r="I232" s="703" t="n"/>
    </row>
    <row r="233" ht="13.5" customHeight="1" s="418">
      <c r="A233" s="543" t="n"/>
      <c r="B233" s="701" t="n"/>
      <c r="C233" s="701" t="n"/>
      <c r="D233" s="702" t="n"/>
      <c r="E233" s="702" t="n"/>
      <c r="F233" s="702" t="n"/>
      <c r="G233" s="703" t="n"/>
      <c r="H233" s="703" t="n"/>
      <c r="I233" s="703" t="n"/>
    </row>
    <row r="234" ht="13.5" customHeight="1" s="418">
      <c r="A234" s="543" t="n"/>
      <c r="B234" s="701" t="n"/>
      <c r="C234" s="701" t="n"/>
      <c r="D234" s="702" t="n"/>
      <c r="E234" s="702" t="n"/>
      <c r="F234" s="702" t="n"/>
      <c r="G234" s="703" t="n"/>
      <c r="H234" s="703" t="n"/>
      <c r="I234" s="703" t="n"/>
    </row>
    <row r="235" ht="13.5" customHeight="1" s="418">
      <c r="A235" s="543" t="n"/>
      <c r="B235" s="701" t="n"/>
      <c r="C235" s="701" t="n"/>
      <c r="D235" s="702" t="n"/>
      <c r="E235" s="702" t="n"/>
      <c r="F235" s="702" t="n"/>
      <c r="G235" s="703" t="n"/>
      <c r="H235" s="703" t="n"/>
      <c r="I235" s="703" t="n"/>
    </row>
    <row r="236" ht="13.5" customHeight="1" s="418">
      <c r="A236" s="543" t="n"/>
      <c r="B236" s="701" t="n"/>
      <c r="C236" s="701" t="n"/>
      <c r="D236" s="702" t="n"/>
      <c r="E236" s="702" t="n"/>
      <c r="F236" s="702" t="n"/>
      <c r="G236" s="703" t="n"/>
      <c r="H236" s="703" t="n"/>
      <c r="I236" s="703" t="n"/>
    </row>
    <row r="237" ht="13.5" customHeight="1" s="418">
      <c r="A237" s="543" t="n"/>
      <c r="B237" s="701" t="n"/>
      <c r="C237" s="701" t="n"/>
      <c r="D237" s="702" t="n"/>
      <c r="E237" s="702" t="n"/>
      <c r="F237" s="702" t="n"/>
      <c r="G237" s="703" t="n"/>
      <c r="H237" s="703" t="n"/>
      <c r="I237" s="703" t="n"/>
    </row>
    <row r="238" ht="13.5" customHeight="1" s="418">
      <c r="A238" s="543" t="n"/>
      <c r="B238" s="701" t="n"/>
      <c r="C238" s="701" t="n"/>
      <c r="D238" s="702" t="n"/>
      <c r="E238" s="702" t="n"/>
      <c r="F238" s="702" t="n"/>
      <c r="G238" s="703" t="n"/>
      <c r="H238" s="703" t="n"/>
      <c r="I238" s="703" t="n"/>
    </row>
    <row r="239" ht="13.5" customHeight="1" s="418">
      <c r="A239" s="543" t="n"/>
      <c r="B239" s="701" t="n"/>
      <c r="C239" s="701" t="n"/>
      <c r="D239" s="702" t="n"/>
      <c r="E239" s="702" t="n"/>
      <c r="F239" s="702" t="n"/>
      <c r="G239" s="703" t="n"/>
      <c r="H239" s="703" t="n"/>
      <c r="I239" s="703" t="n"/>
    </row>
    <row r="240" ht="13.5" customHeight="1" s="418">
      <c r="A240" s="543" t="n"/>
      <c r="B240" s="701" t="n"/>
      <c r="C240" s="701" t="n"/>
      <c r="D240" s="702" t="n"/>
      <c r="E240" s="702" t="n"/>
      <c r="F240" s="702" t="n"/>
      <c r="G240" s="703" t="n"/>
      <c r="H240" s="703" t="n"/>
      <c r="I240" s="703" t="n"/>
    </row>
    <row r="241" ht="13.5" customHeight="1" s="418">
      <c r="A241" s="543" t="n"/>
      <c r="B241" s="701" t="n"/>
      <c r="C241" s="701" t="n"/>
      <c r="D241" s="702" t="n"/>
      <c r="E241" s="702" t="n"/>
      <c r="F241" s="702" t="n"/>
      <c r="G241" s="703" t="n"/>
      <c r="H241" s="703" t="n"/>
      <c r="I241" s="703" t="n"/>
    </row>
    <row r="242" ht="13.5" customHeight="1" s="418">
      <c r="A242" s="543" t="n"/>
      <c r="B242" s="701" t="n"/>
      <c r="C242" s="701" t="n"/>
      <c r="D242" s="702" t="n"/>
      <c r="E242" s="702" t="n"/>
      <c r="F242" s="702" t="n"/>
      <c r="G242" s="703" t="n"/>
      <c r="H242" s="703" t="n"/>
      <c r="I242" s="703" t="n"/>
    </row>
    <row r="243" ht="13.5" customHeight="1" s="418">
      <c r="A243" s="543" t="n"/>
      <c r="B243" s="701" t="n"/>
      <c r="C243" s="701" t="n"/>
      <c r="D243" s="702" t="n"/>
      <c r="E243" s="702" t="n"/>
      <c r="F243" s="702" t="n"/>
      <c r="G243" s="703" t="n"/>
      <c r="H243" s="703" t="n"/>
      <c r="I243" s="703" t="n"/>
    </row>
    <row r="244" ht="13.5" customHeight="1" s="418">
      <c r="A244" s="543" t="n"/>
      <c r="B244" s="701" t="n"/>
      <c r="C244" s="701" t="n"/>
      <c r="D244" s="702" t="n"/>
      <c r="E244" s="702" t="n"/>
      <c r="F244" s="702" t="n"/>
      <c r="G244" s="703" t="n"/>
      <c r="H244" s="703" t="n"/>
      <c r="I244" s="703" t="n"/>
    </row>
    <row r="245" ht="13.5" customHeight="1" s="418">
      <c r="A245" s="543" t="n"/>
      <c r="B245" s="701" t="n"/>
      <c r="C245" s="701" t="n"/>
      <c r="D245" s="702" t="n"/>
      <c r="E245" s="702" t="n"/>
      <c r="F245" s="702" t="n"/>
      <c r="G245" s="703" t="n"/>
      <c r="H245" s="703" t="n"/>
      <c r="I245" s="703" t="n"/>
    </row>
    <row r="246" ht="13.5" customHeight="1" s="418">
      <c r="A246" s="543" t="n"/>
      <c r="B246" s="701" t="n"/>
      <c r="C246" s="701" t="n"/>
      <c r="D246" s="702" t="n"/>
      <c r="E246" s="702" t="n"/>
      <c r="F246" s="702" t="n"/>
      <c r="G246" s="703" t="n"/>
      <c r="H246" s="703" t="n"/>
      <c r="I246" s="703" t="n"/>
    </row>
    <row r="247" ht="13.5" customHeight="1" s="418">
      <c r="A247" s="543" t="n"/>
      <c r="B247" s="701" t="n"/>
      <c r="C247" s="701" t="n"/>
      <c r="D247" s="702" t="n"/>
      <c r="E247" s="702" t="n"/>
      <c r="F247" s="702" t="n"/>
      <c r="G247" s="703" t="n"/>
      <c r="H247" s="703" t="n"/>
      <c r="I247" s="703" t="n"/>
    </row>
    <row r="248" ht="13.5" customHeight="1" s="418">
      <c r="A248" s="543" t="n"/>
      <c r="B248" s="701" t="n"/>
      <c r="C248" s="701" t="n"/>
      <c r="D248" s="702" t="n"/>
      <c r="E248" s="702" t="n"/>
      <c r="F248" s="702" t="n"/>
      <c r="G248" s="703" t="n"/>
      <c r="H248" s="703" t="n"/>
      <c r="I248" s="703" t="n"/>
    </row>
    <row r="249" ht="13.5" customHeight="1" s="418">
      <c r="A249" s="543" t="n"/>
      <c r="B249" s="701" t="n"/>
      <c r="C249" s="701" t="n"/>
      <c r="D249" s="702" t="n"/>
      <c r="E249" s="702" t="n"/>
      <c r="F249" s="702" t="n"/>
      <c r="G249" s="703" t="n"/>
      <c r="H249" s="703" t="n"/>
      <c r="I249" s="703" t="n"/>
    </row>
    <row r="250" ht="13.5" customHeight="1" s="418">
      <c r="A250" s="543" t="n"/>
      <c r="B250" s="701" t="n"/>
      <c r="C250" s="701" t="n"/>
      <c r="D250" s="702" t="n"/>
      <c r="E250" s="702" t="n"/>
      <c r="F250" s="702" t="n"/>
      <c r="G250" s="703" t="n"/>
      <c r="H250" s="703" t="n"/>
      <c r="I250" s="703" t="n"/>
    </row>
    <row r="251" ht="13.5" customHeight="1" s="418">
      <c r="A251" s="543" t="n"/>
      <c r="B251" s="701" t="n"/>
      <c r="C251" s="701" t="n"/>
      <c r="D251" s="702" t="n"/>
      <c r="E251" s="702" t="n"/>
      <c r="F251" s="702" t="n"/>
      <c r="G251" s="703" t="n"/>
      <c r="H251" s="703" t="n"/>
      <c r="I251" s="703" t="n"/>
    </row>
    <row r="252" ht="13.5" customHeight="1" s="418">
      <c r="A252" s="543" t="n"/>
      <c r="B252" s="701" t="n"/>
      <c r="C252" s="701" t="n"/>
      <c r="D252" s="702" t="n"/>
      <c r="E252" s="702" t="n"/>
      <c r="F252" s="702" t="n"/>
      <c r="G252" s="703" t="n"/>
      <c r="H252" s="703" t="n"/>
      <c r="I252" s="703" t="n"/>
    </row>
    <row r="253" ht="13.5" customHeight="1" s="418">
      <c r="A253" s="543" t="n"/>
      <c r="B253" s="701" t="n"/>
      <c r="C253" s="701" t="n"/>
      <c r="D253" s="702" t="n"/>
      <c r="E253" s="702" t="n"/>
      <c r="F253" s="702" t="n"/>
      <c r="G253" s="703" t="n"/>
      <c r="H253" s="703" t="n"/>
      <c r="I253" s="703" t="n"/>
    </row>
    <row r="254" ht="13.5" customHeight="1" s="418">
      <c r="A254" s="543" t="n"/>
      <c r="B254" s="701" t="n"/>
      <c r="C254" s="701" t="n"/>
      <c r="D254" s="702" t="n"/>
      <c r="E254" s="702" t="n"/>
      <c r="F254" s="702" t="n"/>
      <c r="G254" s="703" t="n"/>
      <c r="H254" s="703" t="n"/>
      <c r="I254" s="703" t="n"/>
    </row>
    <row r="255" ht="13.5" customHeight="1" s="418">
      <c r="A255" s="543" t="n"/>
      <c r="B255" s="701" t="n"/>
      <c r="C255" s="701" t="n"/>
      <c r="D255" s="702" t="n"/>
      <c r="E255" s="702" t="n"/>
      <c r="F255" s="702" t="n"/>
      <c r="G255" s="703" t="n"/>
      <c r="H255" s="703" t="n"/>
      <c r="I255" s="703" t="n"/>
    </row>
    <row r="256" ht="13.5" customHeight="1" s="418">
      <c r="A256" s="543" t="n"/>
      <c r="B256" s="701" t="n"/>
      <c r="C256" s="701" t="n"/>
      <c r="D256" s="702" t="n"/>
      <c r="E256" s="702" t="n"/>
      <c r="F256" s="702" t="n"/>
      <c r="G256" s="703" t="n"/>
      <c r="H256" s="703" t="n"/>
      <c r="I256" s="703" t="n"/>
    </row>
    <row r="257" ht="13.5" customHeight="1" s="418">
      <c r="A257" s="543" t="n"/>
      <c r="B257" s="701" t="n"/>
      <c r="C257" s="701" t="n"/>
      <c r="D257" s="702" t="n"/>
      <c r="E257" s="702" t="n"/>
      <c r="F257" s="702" t="n"/>
      <c r="G257" s="703" t="n"/>
      <c r="H257" s="703" t="n"/>
      <c r="I257" s="703" t="n"/>
    </row>
    <row r="258" ht="13.5" customHeight="1" s="418">
      <c r="A258" s="543" t="n"/>
      <c r="B258" s="701" t="n"/>
      <c r="C258" s="701" t="n"/>
      <c r="D258" s="702" t="n"/>
      <c r="E258" s="702" t="n"/>
      <c r="F258" s="702" t="n"/>
      <c r="G258" s="703" t="n"/>
      <c r="H258" s="703" t="n"/>
      <c r="I258" s="703" t="n"/>
    </row>
    <row r="259" ht="13.5" customHeight="1" s="418">
      <c r="A259" s="543" t="n"/>
      <c r="B259" s="701" t="n"/>
      <c r="C259" s="701" t="n"/>
      <c r="D259" s="702" t="n"/>
      <c r="E259" s="702" t="n"/>
      <c r="F259" s="702" t="n"/>
      <c r="G259" s="703" t="n"/>
      <c r="H259" s="703" t="n"/>
      <c r="I259" s="703" t="n"/>
    </row>
    <row r="260" ht="13.5" customHeight="1" s="418">
      <c r="A260" s="543" t="n"/>
      <c r="B260" s="701" t="n"/>
      <c r="C260" s="701" t="n"/>
      <c r="D260" s="702" t="n"/>
      <c r="E260" s="702" t="n"/>
      <c r="F260" s="702" t="n"/>
      <c r="G260" s="703" t="n"/>
      <c r="H260" s="703" t="n"/>
      <c r="I260" s="703" t="n"/>
    </row>
    <row r="261" ht="13.5" customHeight="1" s="418">
      <c r="A261" s="543" t="n"/>
      <c r="B261" s="701" t="n"/>
      <c r="C261" s="701" t="n"/>
      <c r="D261" s="702" t="n"/>
      <c r="E261" s="702" t="n"/>
      <c r="F261" s="702" t="n"/>
      <c r="G261" s="703" t="n"/>
      <c r="H261" s="703" t="n"/>
      <c r="I261" s="703" t="n"/>
    </row>
    <row r="262" ht="13.5" customHeight="1" s="418">
      <c r="A262" s="543" t="n"/>
      <c r="B262" s="701" t="n"/>
      <c r="C262" s="701" t="n"/>
      <c r="D262" s="702" t="n"/>
      <c r="E262" s="702" t="n"/>
      <c r="F262" s="702" t="n"/>
      <c r="G262" s="703" t="n"/>
      <c r="H262" s="703" t="n"/>
      <c r="I262" s="703" t="n"/>
    </row>
    <row r="263" ht="13.5" customHeight="1" s="418">
      <c r="A263" s="543" t="n"/>
      <c r="B263" s="701" t="n"/>
      <c r="C263" s="701" t="n"/>
      <c r="D263" s="702" t="n"/>
      <c r="E263" s="702" t="n"/>
      <c r="F263" s="702" t="n"/>
      <c r="G263" s="703" t="n"/>
      <c r="H263" s="703" t="n"/>
      <c r="I263" s="703" t="n"/>
    </row>
    <row r="264" ht="13.5" customHeight="1" s="418">
      <c r="A264" s="543" t="n"/>
      <c r="B264" s="701" t="n"/>
      <c r="C264" s="701" t="n"/>
      <c r="D264" s="702" t="n"/>
      <c r="E264" s="702" t="n"/>
      <c r="F264" s="702" t="n"/>
      <c r="G264" s="703" t="n"/>
      <c r="H264" s="703" t="n"/>
      <c r="I264" s="703" t="n"/>
    </row>
    <row r="265" ht="13.5" customHeight="1" s="418">
      <c r="A265" s="543" t="n"/>
      <c r="B265" s="701" t="n"/>
      <c r="C265" s="701" t="n"/>
      <c r="D265" s="702" t="n"/>
      <c r="E265" s="702" t="n"/>
      <c r="F265" s="702" t="n"/>
      <c r="G265" s="703" t="n"/>
      <c r="H265" s="703" t="n"/>
      <c r="I265" s="703" t="n"/>
    </row>
    <row r="266" ht="13.5" customHeight="1" s="418">
      <c r="A266" s="543" t="n"/>
      <c r="B266" s="701" t="n"/>
      <c r="C266" s="701" t="n"/>
      <c r="D266" s="702" t="n"/>
      <c r="E266" s="702" t="n"/>
      <c r="F266" s="702" t="n"/>
      <c r="G266" s="703" t="n"/>
      <c r="H266" s="703" t="n"/>
      <c r="I266" s="703" t="n"/>
    </row>
    <row r="267" ht="13.5" customHeight="1" s="418">
      <c r="A267" s="543" t="n"/>
      <c r="B267" s="701" t="n"/>
      <c r="C267" s="701" t="n"/>
      <c r="D267" s="702" t="n"/>
      <c r="E267" s="702" t="n"/>
      <c r="F267" s="702" t="n"/>
      <c r="G267" s="703" t="n"/>
      <c r="H267" s="703" t="n"/>
      <c r="I267" s="703" t="n"/>
    </row>
    <row r="268" ht="13.5" customHeight="1" s="418">
      <c r="A268" s="543" t="n"/>
      <c r="B268" s="701" t="n"/>
      <c r="C268" s="701" t="n"/>
      <c r="D268" s="702" t="n"/>
      <c r="E268" s="702" t="n"/>
      <c r="F268" s="702" t="n"/>
      <c r="G268" s="703" t="n"/>
      <c r="H268" s="703" t="n"/>
      <c r="I268" s="703" t="n"/>
    </row>
    <row r="269" ht="13.5" customHeight="1" s="418">
      <c r="A269" s="543" t="n"/>
      <c r="B269" s="701" t="n"/>
      <c r="C269" s="701" t="n"/>
      <c r="D269" s="702" t="n"/>
      <c r="E269" s="702" t="n"/>
      <c r="F269" s="702" t="n"/>
      <c r="G269" s="703" t="n"/>
      <c r="H269" s="703" t="n"/>
      <c r="I269" s="703" t="n"/>
    </row>
    <row r="270" ht="13.5" customHeight="1" s="418">
      <c r="A270" s="543" t="n"/>
      <c r="B270" s="701" t="n"/>
      <c r="C270" s="701" t="n"/>
      <c r="D270" s="702" t="n"/>
      <c r="E270" s="702" t="n"/>
      <c r="F270" s="702" t="n"/>
      <c r="G270" s="703" t="n"/>
      <c r="H270" s="703" t="n"/>
      <c r="I270" s="703" t="n"/>
    </row>
    <row r="271" ht="13.5" customHeight="1" s="418">
      <c r="A271" s="543" t="n"/>
      <c r="B271" s="701" t="n"/>
      <c r="C271" s="701" t="n"/>
      <c r="D271" s="702" t="n"/>
      <c r="E271" s="702" t="n"/>
      <c r="F271" s="702" t="n"/>
      <c r="G271" s="703" t="n"/>
      <c r="H271" s="703" t="n"/>
      <c r="I271" s="703" t="n"/>
    </row>
    <row r="272" ht="13.5" customHeight="1" s="418">
      <c r="A272" s="543" t="n"/>
      <c r="B272" s="701" t="n"/>
      <c r="C272" s="701" t="n"/>
      <c r="D272" s="702" t="n"/>
      <c r="E272" s="702" t="n"/>
      <c r="F272" s="702" t="n"/>
      <c r="G272" s="703" t="n"/>
      <c r="H272" s="703" t="n"/>
      <c r="I272" s="703" t="n"/>
    </row>
    <row r="273" ht="13.5" customHeight="1" s="418">
      <c r="A273" s="543" t="n"/>
      <c r="B273" s="701" t="n"/>
      <c r="C273" s="701" t="n"/>
      <c r="D273" s="702" t="n"/>
      <c r="E273" s="702" t="n"/>
      <c r="F273" s="702" t="n"/>
      <c r="G273" s="703" t="n"/>
      <c r="H273" s="703" t="n"/>
      <c r="I273" s="703" t="n"/>
    </row>
    <row r="274" ht="13.5" customHeight="1" s="418">
      <c r="A274" s="543" t="n"/>
      <c r="B274" s="701" t="n"/>
      <c r="C274" s="701" t="n"/>
      <c r="D274" s="702" t="n"/>
      <c r="E274" s="702" t="n"/>
      <c r="F274" s="702" t="n"/>
      <c r="G274" s="703" t="n"/>
      <c r="H274" s="703" t="n"/>
      <c r="I274" s="703" t="n"/>
    </row>
    <row r="275" ht="13.5" customHeight="1" s="418">
      <c r="A275" s="543" t="n"/>
      <c r="B275" s="701" t="n"/>
      <c r="C275" s="701" t="n"/>
      <c r="D275" s="702" t="n"/>
      <c r="E275" s="702" t="n"/>
      <c r="F275" s="702" t="n"/>
      <c r="G275" s="703" t="n"/>
      <c r="H275" s="703" t="n"/>
      <c r="I275" s="703" t="n"/>
    </row>
    <row r="276" ht="13.5" customHeight="1" s="418">
      <c r="A276" s="543" t="n"/>
      <c r="B276" s="701" t="n"/>
      <c r="C276" s="701" t="n"/>
      <c r="D276" s="702" t="n"/>
      <c r="E276" s="702" t="n"/>
      <c r="F276" s="702" t="n"/>
      <c r="G276" s="703" t="n"/>
      <c r="H276" s="703" t="n"/>
      <c r="I276" s="703" t="n"/>
    </row>
    <row r="277" ht="13.5" customHeight="1" s="418">
      <c r="A277" s="543" t="n"/>
      <c r="B277" s="701" t="n"/>
      <c r="C277" s="701" t="n"/>
      <c r="D277" s="702" t="n"/>
      <c r="E277" s="702" t="n"/>
      <c r="F277" s="702" t="n"/>
      <c r="G277" s="703" t="n"/>
      <c r="H277" s="703" t="n"/>
      <c r="I277" s="703" t="n"/>
    </row>
    <row r="278" ht="13.5" customHeight="1" s="418">
      <c r="A278" s="543" t="n"/>
      <c r="B278" s="701" t="n"/>
      <c r="C278" s="701" t="n"/>
      <c r="D278" s="702" t="n"/>
      <c r="E278" s="702" t="n"/>
      <c r="F278" s="702" t="n"/>
      <c r="G278" s="703" t="n"/>
      <c r="H278" s="703" t="n"/>
      <c r="I278" s="703" t="n"/>
    </row>
    <row r="279" ht="13.5" customHeight="1" s="418">
      <c r="A279" s="543" t="n"/>
      <c r="B279" s="701" t="n"/>
      <c r="C279" s="701" t="n"/>
      <c r="D279" s="702" t="n"/>
      <c r="E279" s="702" t="n"/>
      <c r="F279" s="702" t="n"/>
      <c r="G279" s="703" t="n"/>
      <c r="H279" s="703" t="n"/>
      <c r="I279" s="703" t="n"/>
    </row>
    <row r="280" ht="13.5" customHeight="1" s="418">
      <c r="A280" s="543" t="n"/>
      <c r="B280" s="701" t="n"/>
      <c r="C280" s="701" t="n"/>
      <c r="D280" s="702" t="n"/>
      <c r="E280" s="702" t="n"/>
      <c r="F280" s="702" t="n"/>
      <c r="G280" s="703" t="n"/>
      <c r="H280" s="703" t="n"/>
      <c r="I280" s="703" t="n"/>
    </row>
    <row r="281" ht="13.5" customHeight="1" s="418">
      <c r="A281" s="543" t="n"/>
      <c r="B281" s="701" t="n"/>
      <c r="C281" s="701" t="n"/>
      <c r="D281" s="702" t="n"/>
      <c r="E281" s="702" t="n"/>
      <c r="F281" s="702" t="n"/>
      <c r="G281" s="703" t="n"/>
      <c r="H281" s="703" t="n"/>
      <c r="I281" s="703" t="n"/>
    </row>
    <row r="282" ht="13.5" customHeight="1" s="418">
      <c r="A282" s="543" t="n"/>
      <c r="B282" s="701" t="n"/>
      <c r="C282" s="701" t="n"/>
      <c r="D282" s="702" t="n"/>
      <c r="E282" s="702" t="n"/>
      <c r="F282" s="702" t="n"/>
      <c r="G282" s="703" t="n"/>
      <c r="H282" s="703" t="n"/>
      <c r="I282" s="703" t="n"/>
    </row>
    <row r="283" ht="13.5" customHeight="1" s="418">
      <c r="A283" s="543" t="n"/>
      <c r="B283" s="701" t="n"/>
      <c r="C283" s="701" t="n"/>
      <c r="D283" s="702" t="n"/>
      <c r="E283" s="702" t="n"/>
      <c r="F283" s="702" t="n"/>
      <c r="G283" s="703" t="n"/>
      <c r="H283" s="703" t="n"/>
      <c r="I283" s="703" t="n"/>
    </row>
    <row r="284" ht="13.5" customHeight="1" s="418">
      <c r="A284" s="543" t="n"/>
      <c r="B284" s="701" t="n"/>
      <c r="C284" s="701" t="n"/>
      <c r="D284" s="702" t="n"/>
      <c r="E284" s="702" t="n"/>
      <c r="F284" s="702" t="n"/>
      <c r="G284" s="703" t="n"/>
      <c r="H284" s="703" t="n"/>
      <c r="I284" s="703" t="n"/>
    </row>
    <row r="285" ht="13.5" customHeight="1" s="418">
      <c r="A285" s="543" t="n"/>
      <c r="B285" s="701" t="n"/>
      <c r="C285" s="701" t="n"/>
      <c r="D285" s="702" t="n"/>
      <c r="E285" s="702" t="n"/>
      <c r="F285" s="702" t="n"/>
      <c r="G285" s="703" t="n"/>
      <c r="H285" s="703" t="n"/>
      <c r="I285" s="703" t="n"/>
    </row>
    <row r="286" ht="13.5" customHeight="1" s="418">
      <c r="A286" s="543" t="n"/>
      <c r="B286" s="701" t="n"/>
      <c r="C286" s="701" t="n"/>
      <c r="D286" s="702" t="n"/>
      <c r="E286" s="702" t="n"/>
      <c r="F286" s="702" t="n"/>
      <c r="G286" s="703" t="n"/>
      <c r="H286" s="703" t="n"/>
      <c r="I286" s="703" t="n"/>
    </row>
    <row r="287" ht="13.5" customHeight="1" s="418">
      <c r="A287" s="543" t="n"/>
      <c r="B287" s="701" t="n"/>
      <c r="C287" s="701" t="n"/>
      <c r="D287" s="702" t="n"/>
      <c r="E287" s="702" t="n"/>
      <c r="F287" s="702" t="n"/>
      <c r="G287" s="703" t="n"/>
      <c r="H287" s="703" t="n"/>
      <c r="I287" s="703" t="n"/>
    </row>
    <row r="288" ht="13.5" customHeight="1" s="418">
      <c r="A288" s="543" t="n"/>
      <c r="B288" s="701" t="n"/>
      <c r="C288" s="701" t="n"/>
      <c r="D288" s="702" t="n"/>
      <c r="E288" s="702" t="n"/>
      <c r="F288" s="702" t="n"/>
      <c r="G288" s="703" t="n"/>
      <c r="H288" s="703" t="n"/>
      <c r="I288" s="703" t="n"/>
    </row>
    <row r="289" ht="13.5" customHeight="1" s="418">
      <c r="A289" s="543" t="n"/>
      <c r="B289" s="701" t="n"/>
      <c r="C289" s="701" t="n"/>
      <c r="D289" s="702" t="n"/>
      <c r="E289" s="702" t="n"/>
      <c r="F289" s="702" t="n"/>
      <c r="G289" s="703" t="n"/>
      <c r="H289" s="703" t="n"/>
      <c r="I289" s="703" t="n"/>
    </row>
    <row r="290" ht="13.5" customHeight="1" s="418">
      <c r="A290" s="543" t="n"/>
      <c r="B290" s="701" t="n"/>
      <c r="C290" s="701" t="n"/>
      <c r="D290" s="702" t="n"/>
      <c r="E290" s="702" t="n"/>
      <c r="F290" s="702" t="n"/>
      <c r="G290" s="703" t="n"/>
      <c r="H290" s="703" t="n"/>
      <c r="I290" s="703" t="n"/>
    </row>
    <row r="291" ht="13.5" customHeight="1" s="418">
      <c r="A291" s="543" t="n"/>
      <c r="B291" s="701" t="n"/>
      <c r="C291" s="701" t="n"/>
      <c r="D291" s="702" t="n"/>
      <c r="E291" s="702" t="n"/>
      <c r="F291" s="702" t="n"/>
      <c r="G291" s="703" t="n"/>
      <c r="H291" s="703" t="n"/>
      <c r="I291" s="703" t="n"/>
    </row>
    <row r="292" ht="13.5" customHeight="1" s="418">
      <c r="A292" s="543" t="n"/>
      <c r="B292" s="701" t="n"/>
      <c r="C292" s="701" t="n"/>
      <c r="D292" s="702" t="n"/>
      <c r="E292" s="702" t="n"/>
      <c r="F292" s="702" t="n"/>
      <c r="G292" s="703" t="n"/>
      <c r="H292" s="703" t="n"/>
      <c r="I292" s="703" t="n"/>
    </row>
    <row r="293" ht="13.5" customHeight="1" s="418">
      <c r="A293" s="543" t="n"/>
      <c r="B293" s="701" t="n"/>
      <c r="C293" s="701" t="n"/>
      <c r="D293" s="702" t="n"/>
      <c r="E293" s="702" t="n"/>
      <c r="F293" s="702" t="n"/>
      <c r="G293" s="703" t="n"/>
      <c r="H293" s="703" t="n"/>
      <c r="I293" s="703" t="n"/>
    </row>
    <row r="294" ht="13.5" customHeight="1" s="418">
      <c r="A294" s="543" t="n"/>
      <c r="B294" s="701" t="n"/>
      <c r="C294" s="701" t="n"/>
      <c r="D294" s="702" t="n"/>
      <c r="E294" s="702" t="n"/>
      <c r="F294" s="702" t="n"/>
      <c r="G294" s="703" t="n"/>
      <c r="H294" s="703" t="n"/>
      <c r="I294" s="703" t="n"/>
    </row>
    <row r="295" ht="13.5" customHeight="1" s="418">
      <c r="A295" s="543" t="n"/>
      <c r="B295" s="701" t="n"/>
      <c r="C295" s="701" t="n"/>
      <c r="D295" s="702" t="n"/>
      <c r="E295" s="702" t="n"/>
      <c r="F295" s="702" t="n"/>
      <c r="G295" s="703" t="n"/>
      <c r="H295" s="703" t="n"/>
      <c r="I295" s="703" t="n"/>
    </row>
    <row r="296" ht="13.5" customHeight="1" s="418">
      <c r="A296" s="543" t="n"/>
      <c r="B296" s="701" t="n"/>
      <c r="C296" s="701" t="n"/>
      <c r="D296" s="702" t="n"/>
      <c r="E296" s="702" t="n"/>
      <c r="F296" s="702" t="n"/>
      <c r="G296" s="703" t="n"/>
      <c r="H296" s="703" t="n"/>
      <c r="I296" s="703" t="n"/>
    </row>
    <row r="297" ht="13.5" customHeight="1" s="418">
      <c r="A297" s="543" t="n"/>
      <c r="B297" s="701" t="n"/>
      <c r="C297" s="701" t="n"/>
      <c r="D297" s="702" t="n"/>
      <c r="E297" s="702" t="n"/>
      <c r="F297" s="702" t="n"/>
      <c r="G297" s="703" t="n"/>
      <c r="H297" s="703" t="n"/>
      <c r="I297" s="703" t="n"/>
    </row>
    <row r="298" ht="13.5" customHeight="1" s="418">
      <c r="B298" s="701" t="n"/>
      <c r="C298" s="701" t="n"/>
      <c r="D298" s="702" t="n"/>
      <c r="E298" s="702" t="n"/>
      <c r="F298" s="702" t="n"/>
      <c r="G298" s="703" t="n"/>
      <c r="H298" s="703" t="n"/>
      <c r="I298" s="703" t="n"/>
    </row>
    <row r="299" ht="13.5" customHeight="1" s="418">
      <c r="B299" s="701" t="n"/>
      <c r="C299" s="701" t="n"/>
      <c r="D299" s="702" t="n"/>
      <c r="E299" s="702" t="n"/>
      <c r="F299" s="702" t="n"/>
      <c r="G299" s="703" t="n"/>
      <c r="H299" s="703" t="n"/>
      <c r="I299" s="703" t="n"/>
    </row>
    <row r="300" ht="13.5" customHeight="1" s="418">
      <c r="B300" s="701" t="n"/>
      <c r="C300" s="701" t="n"/>
      <c r="D300" s="702" t="n"/>
      <c r="E300" s="702" t="n"/>
      <c r="F300" s="702" t="n"/>
      <c r="G300" s="703" t="n"/>
      <c r="H300" s="703" t="n"/>
      <c r="I300" s="703" t="n"/>
    </row>
    <row r="301" ht="13.5" customHeight="1" s="418">
      <c r="B301" s="701" t="n"/>
      <c r="C301" s="701" t="n"/>
      <c r="D301" s="702" t="n"/>
      <c r="E301" s="702" t="n"/>
      <c r="F301" s="702" t="n"/>
      <c r="G301" s="703" t="n"/>
      <c r="H301" s="703" t="n"/>
      <c r="I301" s="703" t="n"/>
    </row>
    <row r="302" ht="13.5" customHeight="1" s="418">
      <c r="B302" s="701" t="n"/>
      <c r="C302" s="701" t="n"/>
      <c r="D302" s="702" t="n"/>
      <c r="E302" s="702" t="n"/>
      <c r="F302" s="702" t="n"/>
      <c r="G302" s="703" t="n"/>
      <c r="H302" s="703" t="n"/>
      <c r="I302" s="703" t="n"/>
    </row>
    <row r="303" ht="13.5" customHeight="1" s="418">
      <c r="B303" s="701" t="n"/>
      <c r="C303" s="701" t="n"/>
      <c r="D303" s="702" t="n"/>
      <c r="E303" s="702" t="n"/>
      <c r="F303" s="702" t="n"/>
      <c r="G303" s="703" t="n"/>
      <c r="H303" s="703" t="n"/>
      <c r="I303" s="703" t="n"/>
    </row>
    <row r="304" ht="13.5" customHeight="1" s="418">
      <c r="B304" s="701" t="n"/>
      <c r="C304" s="701" t="n"/>
      <c r="D304" s="702" t="n"/>
      <c r="E304" s="702" t="n"/>
      <c r="F304" s="702" t="n"/>
      <c r="G304" s="703" t="n"/>
      <c r="H304" s="703" t="n"/>
      <c r="I304" s="703" t="n"/>
    </row>
    <row r="305" ht="13.5" customHeight="1" s="418">
      <c r="B305" s="701" t="n"/>
      <c r="C305" s="701" t="n"/>
      <c r="D305" s="702" t="n"/>
      <c r="E305" s="702" t="n"/>
      <c r="F305" s="702" t="n"/>
      <c r="G305" s="703" t="n"/>
      <c r="H305" s="703" t="n"/>
      <c r="I305" s="703" t="n"/>
    </row>
    <row r="306" ht="13.5" customHeight="1" s="418">
      <c r="B306" s="704" t="n"/>
      <c r="C306" s="704" t="n"/>
      <c r="D306" s="705" t="n"/>
      <c r="E306" s="705" t="n"/>
      <c r="F306" s="705" t="n"/>
      <c r="G306" s="706" t="n"/>
      <c r="H306" s="706" t="n"/>
      <c r="I306" s="706" t="n"/>
    </row>
    <row r="307" ht="13.5" customHeight="1" s="418">
      <c r="B307" s="701" t="n"/>
      <c r="C307" s="701" t="n"/>
      <c r="D307" s="702" t="n"/>
      <c r="E307" s="702" t="n"/>
      <c r="F307" s="702" t="n"/>
      <c r="G307" s="703" t="n"/>
      <c r="H307" s="703" t="n"/>
      <c r="I307" s="703" t="n"/>
    </row>
    <row r="308" ht="13.5" customHeight="1" s="418">
      <c r="B308" s="701" t="n"/>
      <c r="C308" s="701" t="n"/>
      <c r="D308" s="702" t="n"/>
      <c r="E308" s="702" t="n"/>
      <c r="F308" s="702" t="n"/>
      <c r="G308" s="703" t="n"/>
      <c r="H308" s="703" t="n"/>
      <c r="I308" s="703" t="n"/>
    </row>
    <row r="309" ht="13.5" customHeight="1" s="418">
      <c r="B309" s="701" t="n"/>
      <c r="C309" s="701" t="n"/>
      <c r="D309" s="702" t="n"/>
      <c r="E309" s="702" t="n"/>
      <c r="F309" s="702" t="n"/>
      <c r="G309" s="703" t="n"/>
      <c r="H309" s="703" t="n"/>
      <c r="I309" s="703" t="n"/>
    </row>
    <row r="310" ht="13.5" customHeight="1" s="418">
      <c r="B310" s="701" t="n"/>
      <c r="C310" s="701" t="n"/>
      <c r="D310" s="702" t="n"/>
      <c r="E310" s="702" t="n"/>
      <c r="F310" s="702" t="n"/>
      <c r="G310" s="703" t="n"/>
      <c r="H310" s="703" t="n"/>
      <c r="I310" s="703" t="n"/>
    </row>
    <row r="311" ht="13.5" customHeight="1" s="418">
      <c r="B311" s="701" t="n"/>
      <c r="C311" s="701" t="n"/>
      <c r="D311" s="702" t="n"/>
      <c r="E311" s="702" t="n"/>
      <c r="F311" s="702" t="n"/>
      <c r="G311" s="703" t="n"/>
      <c r="H311" s="703" t="n"/>
      <c r="I311" s="703" t="n"/>
    </row>
    <row r="312" ht="13.5" customHeight="1" s="418">
      <c r="B312" s="701" t="n"/>
      <c r="C312" s="701" t="n"/>
      <c r="D312" s="702" t="n"/>
      <c r="E312" s="702" t="n"/>
      <c r="F312" s="702" t="n"/>
      <c r="G312" s="703" t="n"/>
      <c r="H312" s="703" t="n"/>
      <c r="I312" s="703" t="n"/>
    </row>
    <row r="313" ht="13.5" customHeight="1" s="418">
      <c r="B313" s="701" t="n"/>
      <c r="C313" s="701" t="n"/>
      <c r="D313" s="702" t="n"/>
      <c r="E313" s="702" t="n"/>
      <c r="F313" s="702" t="n"/>
      <c r="G313" s="703" t="n"/>
      <c r="H313" s="703" t="n"/>
      <c r="I313" s="703" t="n"/>
    </row>
    <row r="314" ht="13.5" customHeight="1" s="418">
      <c r="B314" s="701" t="n"/>
      <c r="C314" s="701" t="n"/>
      <c r="D314" s="702" t="n"/>
      <c r="E314" s="702" t="n"/>
      <c r="F314" s="702" t="n"/>
      <c r="G314" s="703" t="n"/>
      <c r="H314" s="703" t="n"/>
      <c r="I314" s="703" t="n"/>
    </row>
    <row r="315" ht="13.5" customHeight="1" s="418">
      <c r="B315" s="701" t="n"/>
      <c r="C315" s="701" t="n"/>
      <c r="D315" s="702" t="n"/>
      <c r="E315" s="702" t="n"/>
      <c r="F315" s="702" t="n"/>
      <c r="G315" s="703" t="n"/>
      <c r="H315" s="703" t="n"/>
      <c r="I315" s="703" t="n"/>
    </row>
    <row r="316" ht="13.5" customHeight="1" s="418">
      <c r="B316" s="701" t="n"/>
      <c r="C316" s="701" t="n"/>
      <c r="D316" s="702" t="n"/>
      <c r="E316" s="702" t="n"/>
      <c r="F316" s="702" t="n"/>
      <c r="G316" s="703" t="n"/>
      <c r="H316" s="703" t="n"/>
      <c r="I316" s="703" t="n"/>
    </row>
    <row r="317" ht="13.5" customHeight="1" s="418">
      <c r="B317" s="701" t="n"/>
      <c r="C317" s="701" t="n"/>
      <c r="D317" s="702" t="n"/>
      <c r="E317" s="702" t="n"/>
      <c r="F317" s="702" t="n"/>
      <c r="G317" s="703" t="n"/>
      <c r="H317" s="703" t="n"/>
      <c r="I317" s="703" t="n"/>
    </row>
    <row r="318" ht="13.5" customHeight="1" s="418">
      <c r="B318" s="701" t="n"/>
      <c r="C318" s="701" t="n"/>
      <c r="D318" s="702" t="n"/>
      <c r="E318" s="702" t="n"/>
      <c r="F318" s="702" t="n"/>
      <c r="G318" s="703" t="n"/>
      <c r="H318" s="703" t="n"/>
      <c r="I318" s="703" t="n"/>
    </row>
    <row r="319" ht="13.5" customHeight="1" s="418">
      <c r="B319" s="701" t="n"/>
      <c r="C319" s="701" t="n"/>
      <c r="D319" s="702" t="n"/>
      <c r="E319" s="702" t="n"/>
      <c r="F319" s="702" t="n"/>
      <c r="G319" s="703" t="n"/>
      <c r="H319" s="703" t="n"/>
      <c r="I319" s="703" t="n"/>
    </row>
    <row r="320" ht="13.5" customHeight="1" s="418">
      <c r="B320" s="701" t="n"/>
      <c r="C320" s="701" t="n"/>
      <c r="D320" s="702" t="n"/>
      <c r="E320" s="702" t="n"/>
      <c r="F320" s="702" t="n"/>
      <c r="G320" s="703" t="n"/>
      <c r="H320" s="703" t="n"/>
      <c r="I320" s="703" t="n"/>
    </row>
    <row r="321" ht="13.5" customHeight="1" s="418">
      <c r="B321" s="701" t="n"/>
      <c r="C321" s="701" t="n"/>
      <c r="D321" s="702" t="n"/>
      <c r="E321" s="702" t="n"/>
      <c r="F321" s="702" t="n"/>
      <c r="G321" s="703" t="n"/>
      <c r="H321" s="703" t="n"/>
      <c r="I321" s="703" t="n"/>
    </row>
    <row r="322" ht="13.5" customHeight="1" s="418">
      <c r="B322" s="701" t="n"/>
      <c r="C322" s="701" t="n"/>
      <c r="D322" s="702" t="n"/>
      <c r="E322" s="702" t="n"/>
      <c r="F322" s="702" t="n"/>
      <c r="G322" s="703" t="n"/>
      <c r="H322" s="703" t="n"/>
      <c r="I322" s="703" t="n"/>
    </row>
    <row r="323" ht="13.5" customHeight="1" s="418">
      <c r="B323" s="701" t="n"/>
      <c r="C323" s="701" t="n"/>
      <c r="D323" s="702" t="n"/>
      <c r="E323" s="702" t="n"/>
      <c r="F323" s="702" t="n"/>
      <c r="G323" s="703" t="n"/>
      <c r="H323" s="703" t="n"/>
      <c r="I323" s="703" t="n"/>
    </row>
    <row r="324" ht="13.5" customHeight="1" s="418">
      <c r="B324" s="701" t="n"/>
      <c r="C324" s="701" t="n"/>
      <c r="D324" s="702" t="n"/>
      <c r="E324" s="702" t="n"/>
      <c r="F324" s="702" t="n"/>
      <c r="G324" s="703" t="n"/>
      <c r="H324" s="703" t="n"/>
      <c r="I324" s="703" t="n"/>
    </row>
  </sheetData>
  <mergeCells count="25">
    <mergeCell ref="S11:S12"/>
    <mergeCell ref="A76:M76"/>
    <mergeCell ref="A14:M14"/>
    <mergeCell ref="Q26:Q32"/>
    <mergeCell ref="A23:M23"/>
    <mergeCell ref="A106:M106"/>
    <mergeCell ref="A22:M22"/>
    <mergeCell ref="A140:M140"/>
    <mergeCell ref="A96:M96"/>
    <mergeCell ref="S7:S8"/>
    <mergeCell ref="A10:M10"/>
    <mergeCell ref="A115:M115"/>
    <mergeCell ref="S19:S20"/>
    <mergeCell ref="A44:M44"/>
    <mergeCell ref="S15:S16"/>
    <mergeCell ref="A132:M132"/>
    <mergeCell ref="A6:M6"/>
    <mergeCell ref="A124:M124"/>
    <mergeCell ref="A87:M87"/>
    <mergeCell ref="A66:M66"/>
    <mergeCell ref="A149:M149"/>
    <mergeCell ref="A18:M18"/>
    <mergeCell ref="S3:S4"/>
    <mergeCell ref="A55:M55"/>
    <mergeCell ref="A33:M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Fernando</dc:creator>
  <dc:language>es-PE</dc:language>
  <dcterms:created xsi:type="dcterms:W3CDTF">2015-06-05T18:17:20Z</dcterms:created>
  <dcterms:modified xsi:type="dcterms:W3CDTF">2026-07-12T19:22:50Z</dcterms:modified>
  <cp:revision>2</cp:revision>
</cp:coreProperties>
</file>